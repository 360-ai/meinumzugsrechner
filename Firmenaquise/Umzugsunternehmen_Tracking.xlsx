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Kontaktliste" sheetId="1" state="visible" r:id="rId3"/>
    <sheet name="📊 Dashboard" sheetId="2" state="visible" r:id="rId4"/>
    <sheet name="🤖 n8n Workflow" sheetId="3" state="visible" r:id="rId5"/>
  </sheets>
  <definedNames>
    <definedName function="false" hidden="true" localSheetId="0" name="_xlnm._FilterDatabase" vbProcedure="false">'📋 Kontaktliste'!$A$3:$O$91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<sst xmlns="http://schemas.openxmlformats.org/spreadsheetml/2006/main" count="871" uniqueCount="417">
  <si>
    <t xml:space="preserve">🏠  Umzugsunternehmen – Kontakt &amp; Tracking-Liste</t>
  </si>
  <si>
    <t xml:space="preserve">Erstellt: 19.04.2026  |  12 Städte  |  88 Unternehmen</t>
  </si>
  <si>
    <t xml:space="preserve">Nr.</t>
  </si>
  <si>
    <t xml:space="preserve">Stadt</t>
  </si>
  <si>
    <t xml:space="preserve">Firmenname</t>
  </si>
  <si>
    <t xml:space="preserve">Anrede (Mail)</t>
  </si>
  <si>
    <t xml:space="preserve">E-Mail-Adresse</t>
  </si>
  <si>
    <t xml:space="preserve">Website</t>
  </si>
  <si>
    <t xml:space="preserve">Mail 1
gesendet am</t>
  </si>
  <si>
    <t xml:space="preserve">Mail 1
Status</t>
  </si>
  <si>
    <t xml:space="preserve">Antwort
erhalten?</t>
  </si>
  <si>
    <t xml:space="preserve">Antwort
datum</t>
  </si>
  <si>
    <t xml:space="preserve">Mail 2
gesendet am</t>
  </si>
  <si>
    <t xml:space="preserve">Mail 2
Status</t>
  </si>
  <si>
    <t xml:space="preserve">Gesamt-
Status</t>
  </si>
  <si>
    <t xml:space="preserve">Notizen / Ergebnis</t>
  </si>
  <si>
    <t xml:space="preserve">n8n Job-ID</t>
  </si>
  <si>
    <t xml:space="preserve">Hamburg</t>
  </si>
  <si>
    <t xml:space="preserve">Rudolph Umzüge</t>
  </si>
  <si>
    <t xml:space="preserve">Liebes Rudolph Umzüge Team,</t>
  </si>
  <si>
    <t xml:space="preserve">info@rudolph-umzuege.de</t>
  </si>
  <si>
    <t xml:space="preserve">rudolph-umzuege.de</t>
  </si>
  <si>
    <t xml:space="preserve">⏳ Ausstehend</t>
  </si>
  <si>
    <t xml:space="preserve">—</t>
  </si>
  <si>
    <t xml:space="preserve">🟡 Offen</t>
  </si>
  <si>
    <t xml:space="preserve">Umzugslogistik Hamburg</t>
  </si>
  <si>
    <t xml:space="preserve">Liebes Umzugslogistik Hamburg Team,</t>
  </si>
  <si>
    <t xml:space="preserve">info@umzugslogistik.hamburg</t>
  </si>
  <si>
    <t xml:space="preserve">umzugslogistik.hamburg</t>
  </si>
  <si>
    <t xml:space="preserve">Carl Hahn Möbeltransporte</t>
  </si>
  <si>
    <t xml:space="preserve">Liebes Carl Hahn Möbeltransporte Team,</t>
  </si>
  <si>
    <t xml:space="preserve">info@carlhahn.de</t>
  </si>
  <si>
    <t xml:space="preserve">carlhahn.de</t>
  </si>
  <si>
    <t xml:space="preserve">HMP Umzüge</t>
  </si>
  <si>
    <t xml:space="preserve">Liebes HMP Umzüge Team,</t>
  </si>
  <si>
    <t xml:space="preserve">info@hmp-umzug.de</t>
  </si>
  <si>
    <t xml:space="preserve">umzug-hamburg.com</t>
  </si>
  <si>
    <t xml:space="preserve">Die Möbel Packer</t>
  </si>
  <si>
    <t xml:space="preserve">Liebes Die Möbel Packer Team,</t>
  </si>
  <si>
    <t xml:space="preserve">info@diemoebel-packer.de</t>
  </si>
  <si>
    <t xml:space="preserve">diemoebel-packer.de</t>
  </si>
  <si>
    <t xml:space="preserve">Paul Filter Möbelspedition</t>
  </si>
  <si>
    <t xml:space="preserve">Liebes Paul Filter Möbelspedition Team,</t>
  </si>
  <si>
    <t xml:space="preserve">info@filter-umzug.de</t>
  </si>
  <si>
    <t xml:space="preserve">filter-umzug.de</t>
  </si>
  <si>
    <t xml:space="preserve">Transfair Umzug</t>
  </si>
  <si>
    <t xml:space="preserve">Liebes Transfair Umzug Team,</t>
  </si>
  <si>
    <t xml:space="preserve">info@transfair-umzug.de</t>
  </si>
  <si>
    <t xml:space="preserve">transfair-umzug.de</t>
  </si>
  <si>
    <t xml:space="preserve">Umzugskerle</t>
  </si>
  <si>
    <t xml:space="preserve">Liebes Umzugskerle Team,</t>
  </si>
  <si>
    <t xml:space="preserve">info@umzugskerle.de</t>
  </si>
  <si>
    <t xml:space="preserve">umzugskerle.de</t>
  </si>
  <si>
    <t xml:space="preserve">Hallo Umzug</t>
  </si>
  <si>
    <t xml:space="preserve">Liebes Hallo Umzug Team,</t>
  </si>
  <si>
    <t xml:space="preserve">info@halloumzug.de</t>
  </si>
  <si>
    <t xml:space="preserve">halloumzug.de</t>
  </si>
  <si>
    <t xml:space="preserve">Hannover</t>
  </si>
  <si>
    <t xml:space="preserve">D&amp;L Umzugsservice GmbH</t>
  </si>
  <si>
    <t xml:space="preserve">Liebes D&amp;L Umzugsservice GmbH Team,</t>
  </si>
  <si>
    <t xml:space="preserve">info@dl-umzugsservice.de</t>
  </si>
  <si>
    <t xml:space="preserve">dl-umzugsservice.de</t>
  </si>
  <si>
    <t xml:space="preserve">Möbel Taxi Hannover</t>
  </si>
  <si>
    <t xml:space="preserve">Liebes Möbel Taxi Hannover Team,</t>
  </si>
  <si>
    <t xml:space="preserve">info@moebel-taxi-hannover.de</t>
  </si>
  <si>
    <t xml:space="preserve">moebel-taxi-hannover.de</t>
  </si>
  <si>
    <t xml:space="preserve">AllTransport24</t>
  </si>
  <si>
    <t xml:space="preserve">Liebes AllTransport24 Team,</t>
  </si>
  <si>
    <t xml:space="preserve">webmaster@umzuege-hannover.net</t>
  </si>
  <si>
    <t xml:space="preserve">umzuege-hannover.net</t>
  </si>
  <si>
    <t xml:space="preserve">Holm-Möbeltransporte</t>
  </si>
  <si>
    <t xml:space="preserve">Liebes Holm-Möbeltransporte Team,</t>
  </si>
  <si>
    <t xml:space="preserve">holm-umzuege@outlook.de</t>
  </si>
  <si>
    <t xml:space="preserve">holm-moebeltransporte.de</t>
  </si>
  <si>
    <t xml:space="preserve">EasyFix Umzüge</t>
  </si>
  <si>
    <t xml:space="preserve">Liebes EasyFix Umzüge Team,</t>
  </si>
  <si>
    <t xml:space="preserve">info@easyfix-umzuege.de</t>
  </si>
  <si>
    <t xml:space="preserve">easyfix-umzuege.de</t>
  </si>
  <si>
    <t xml:space="preserve">LenGoTrans</t>
  </si>
  <si>
    <t xml:space="preserve">Liebes LenGoTrans Team,</t>
  </si>
  <si>
    <t xml:space="preserve">info@lengotrans.de</t>
  </si>
  <si>
    <t xml:space="preserve">lengotrans.de</t>
  </si>
  <si>
    <t xml:space="preserve">Schloms Umzüge</t>
  </si>
  <si>
    <t xml:space="preserve">Liebes Schloms Umzüge Team,</t>
  </si>
  <si>
    <t xml:space="preserve">info@schloms.de</t>
  </si>
  <si>
    <t xml:space="preserve">schloms.de</t>
  </si>
  <si>
    <t xml:space="preserve">Warnecke Möbelspedition GmbH</t>
  </si>
  <si>
    <t xml:space="preserve">Liebes Warnecke Möbelspedition GmbH Team,</t>
  </si>
  <si>
    <t xml:space="preserve">umzugsberater@warnecke-gmbh.de</t>
  </si>
  <si>
    <t xml:space="preserve">warnecke-gmbh.de</t>
  </si>
  <si>
    <t xml:space="preserve">Möbeltaxi81</t>
  </si>
  <si>
    <t xml:space="preserve">Liebes Möbeltaxi81 Team,</t>
  </si>
  <si>
    <t xml:space="preserve">info@moebeltaxi81.de</t>
  </si>
  <si>
    <t xml:space="preserve">moebeltaxi81.com</t>
  </si>
  <si>
    <t xml:space="preserve">Köln</t>
  </si>
  <si>
    <t xml:space="preserve">Knoblau &amp; Sohn Umzüge</t>
  </si>
  <si>
    <t xml:space="preserve">Liebes Knoblau &amp; Sohn Umzüge Team,</t>
  </si>
  <si>
    <t xml:space="preserve">info@knoblau-umzuege.de</t>
  </si>
  <si>
    <t xml:space="preserve">umzuege-transporte-koeln.de</t>
  </si>
  <si>
    <t xml:space="preserve">Wegener Umzugslogistik</t>
  </si>
  <si>
    <t xml:space="preserve">Liebes Wegener Umzugslogistik Team,</t>
  </si>
  <si>
    <t xml:space="preserve">info@wegenerumzuege.de</t>
  </si>
  <si>
    <t xml:space="preserve">wegenerumzuege.de</t>
  </si>
  <si>
    <t xml:space="preserve">Colonia Umzüge</t>
  </si>
  <si>
    <t xml:space="preserve">Liebes Colonia Umzüge Team,</t>
  </si>
  <si>
    <t xml:space="preserve">mail@colonia-umzuege.de</t>
  </si>
  <si>
    <t xml:space="preserve">colonia-umzuege.de</t>
  </si>
  <si>
    <t xml:space="preserve">OK Umzüge</t>
  </si>
  <si>
    <t xml:space="preserve">Liebes OK Umzüge Team,</t>
  </si>
  <si>
    <t xml:space="preserve">info@ok-umzuege.de</t>
  </si>
  <si>
    <t xml:space="preserve">ok-umzuege.de</t>
  </si>
  <si>
    <t xml:space="preserve">ABC Umzugsservice</t>
  </si>
  <si>
    <t xml:space="preserve">Liebes ABC Umzugsservice Team,</t>
  </si>
  <si>
    <t xml:space="preserve">info@profiumzuege.de</t>
  </si>
  <si>
    <t xml:space="preserve">profiumzuege.de</t>
  </si>
  <si>
    <t xml:space="preserve">All in 1 Umzüge</t>
  </si>
  <si>
    <t xml:space="preserve">Liebes All in 1 Umzüge Team,</t>
  </si>
  <si>
    <t xml:space="preserve">info@allin1-umzuege.de</t>
  </si>
  <si>
    <t xml:space="preserve">allin1-umzuege.de</t>
  </si>
  <si>
    <t xml:space="preserve">Riese Umzüge</t>
  </si>
  <si>
    <t xml:space="preserve">Liebes Riese Umzüge Team,</t>
  </si>
  <si>
    <t xml:space="preserve">info@riese-umzuege.de</t>
  </si>
  <si>
    <t xml:space="preserve">riese-umzuege.de</t>
  </si>
  <si>
    <t xml:space="preserve">Kautz Umzüge GmbH</t>
  </si>
  <si>
    <t xml:space="preserve">Liebes Kautz Umzüge GmbH Team,</t>
  </si>
  <si>
    <t xml:space="preserve">info@kautz-umzuege.com</t>
  </si>
  <si>
    <t xml:space="preserve">kautz-umzuege.com</t>
  </si>
  <si>
    <t xml:space="preserve">F&amp;F Umzug</t>
  </si>
  <si>
    <t xml:space="preserve">Liebes F&amp;F Umzug Team,</t>
  </si>
  <si>
    <t xml:space="preserve">kontakt@2f-umzug.de</t>
  </si>
  <si>
    <t xml:space="preserve">2f-umzug.de</t>
  </si>
  <si>
    <t xml:space="preserve">ABC Umzüge Verkerk</t>
  </si>
  <si>
    <t xml:space="preserve">Liebes ABC Umzüge Verkerk Team,</t>
  </si>
  <si>
    <t xml:space="preserve">bv@abc-umzuege.de</t>
  </si>
  <si>
    <t xml:space="preserve">abc-umzuege.de</t>
  </si>
  <si>
    <t xml:space="preserve">Koblenz</t>
  </si>
  <si>
    <t xml:space="preserve">Clemens Erben GmbH</t>
  </si>
  <si>
    <t xml:space="preserve">Liebes Clemens Erben GmbH Team,</t>
  </si>
  <si>
    <t xml:space="preserve">info@erben-umzug.de</t>
  </si>
  <si>
    <t xml:space="preserve">erben-umzug.de</t>
  </si>
  <si>
    <t xml:space="preserve">Fehres Transporte</t>
  </si>
  <si>
    <t xml:space="preserve">Liebes Fehres Transporte Team,</t>
  </si>
  <si>
    <t xml:space="preserve">info@fehres-transporte.de</t>
  </si>
  <si>
    <t xml:space="preserve">fehres-transporte.de</t>
  </si>
  <si>
    <t xml:space="preserve">HUGE-Service</t>
  </si>
  <si>
    <t xml:space="preserve">Liebes HUGE-Service Team,</t>
  </si>
  <si>
    <t xml:space="preserve">info@huge-service.de</t>
  </si>
  <si>
    <t xml:space="preserve">huge-service.de</t>
  </si>
  <si>
    <t xml:space="preserve">Meisterkraft Umzüge</t>
  </si>
  <si>
    <t xml:space="preserve">Liebes Meisterkraft Umzüge Team,</t>
  </si>
  <si>
    <t xml:space="preserve">keine E-Mail gefunden</t>
  </si>
  <si>
    <t xml:space="preserve">meisterkraft-umzuege.de</t>
  </si>
  <si>
    <t xml:space="preserve">CityUmzugsGroup</t>
  </si>
  <si>
    <t xml:space="preserve">Liebes CityUmzugsGroup Team,</t>
  </si>
  <si>
    <t xml:space="preserve">info@cityumzugsgroup.de</t>
  </si>
  <si>
    <t xml:space="preserve">cityumzugsgroup.de</t>
  </si>
  <si>
    <t xml:space="preserve">Trier</t>
  </si>
  <si>
    <t xml:space="preserve">Steffgen Umzüge</t>
  </si>
  <si>
    <t xml:space="preserve">Liebes Steffgen Umzüge Team,</t>
  </si>
  <si>
    <t xml:space="preserve">info@steffgen-umzuege.de</t>
  </si>
  <si>
    <t xml:space="preserve">steffgen-umzuege.de</t>
  </si>
  <si>
    <t xml:space="preserve">Magic Umzüge</t>
  </si>
  <si>
    <t xml:space="preserve">Liebes Magic Umzüge Team,</t>
  </si>
  <si>
    <t xml:space="preserve">mail@magic-trier.de</t>
  </si>
  <si>
    <t xml:space="preserve">magic-trier.de</t>
  </si>
  <si>
    <t xml:space="preserve">Umzugsmeister Berg</t>
  </si>
  <si>
    <t xml:space="preserve">Liebes Umzugsmeister Berg Team,</t>
  </si>
  <si>
    <t xml:space="preserve">info@umzugsmeister-trier.de</t>
  </si>
  <si>
    <t xml:space="preserve">umzugsmeister-trier.de</t>
  </si>
  <si>
    <t xml:space="preserve">m.mallmann Möbelspedition</t>
  </si>
  <si>
    <t xml:space="preserve">Liebes m.mallmann Möbelspedition Team,</t>
  </si>
  <si>
    <t xml:space="preserve">mallmann.com</t>
  </si>
  <si>
    <t xml:space="preserve">Nikolas Martin Umzüge</t>
  </si>
  <si>
    <t xml:space="preserve">Liebes Nikolas Martin Umzüge Team,</t>
  </si>
  <si>
    <t xml:space="preserve">info@umzugsunternehmen-trier.de</t>
  </si>
  <si>
    <t xml:space="preserve">umzugsunternehmen-trier.de</t>
  </si>
  <si>
    <t xml:space="preserve">Erfurt</t>
  </si>
  <si>
    <t xml:space="preserve">GEMÖ Möbeltransporte GmbH</t>
  </si>
  <si>
    <t xml:space="preserve">Liebes GEMÖ Möbeltransporte GmbH Team,</t>
  </si>
  <si>
    <t xml:space="preserve">kontakt@gemoe-umzuege.de</t>
  </si>
  <si>
    <t xml:space="preserve">gemoe-umzuege.de</t>
  </si>
  <si>
    <t xml:space="preserve">Michel Umzüge</t>
  </si>
  <si>
    <t xml:space="preserve">Liebes Michel Umzüge Team,</t>
  </si>
  <si>
    <t xml:space="preserve">info@michel-umzuege.de</t>
  </si>
  <si>
    <t xml:space="preserve">michel-umzuege.de</t>
  </si>
  <si>
    <t xml:space="preserve">JK Umzüge</t>
  </si>
  <si>
    <t xml:space="preserve">Liebes JK Umzüge Team,</t>
  </si>
  <si>
    <t xml:space="preserve">kontakt@jk-umzug.de</t>
  </si>
  <si>
    <t xml:space="preserve">jk-umzug.de</t>
  </si>
  <si>
    <t xml:space="preserve">Nolte Umzüge</t>
  </si>
  <si>
    <t xml:space="preserve">Liebes Nolte Umzüge Team,</t>
  </si>
  <si>
    <t xml:space="preserve">nolte-umzuege@t-online.de</t>
  </si>
  <si>
    <t xml:space="preserve">nolte-umzuege-erfurt.de</t>
  </si>
  <si>
    <t xml:space="preserve">Umzug der Generationen</t>
  </si>
  <si>
    <t xml:space="preserve">Liebes Umzug der Generationen Team,</t>
  </si>
  <si>
    <t xml:space="preserve">info@umzug-generationen.de</t>
  </si>
  <si>
    <t xml:space="preserve">umzug-generationen.de</t>
  </si>
  <si>
    <t xml:space="preserve">MTS - Umzugsservice Bäcke</t>
  </si>
  <si>
    <t xml:space="preserve">Liebes MTS - Umzugsservice Bäcke Team,</t>
  </si>
  <si>
    <t xml:space="preserve">info@mts-erfurt.de</t>
  </si>
  <si>
    <t xml:space="preserve">mts-erfurt.de</t>
  </si>
  <si>
    <t xml:space="preserve">Schumann &amp; ARENA Umzüge</t>
  </si>
  <si>
    <t xml:space="preserve">Liebes Schumann &amp; ARENA Umzüge Team,</t>
  </si>
  <si>
    <t xml:space="preserve">info@schumann-umzuege.de</t>
  </si>
  <si>
    <t xml:space="preserve">schumann-umzuege.de</t>
  </si>
  <si>
    <t xml:space="preserve">Dresden</t>
  </si>
  <si>
    <t xml:space="preserve">Schötz Umzüge</t>
  </si>
  <si>
    <t xml:space="preserve">Liebes Schötz Umzüge Team,</t>
  </si>
  <si>
    <t xml:space="preserve">info@schoetz-umzuege.com</t>
  </si>
  <si>
    <t xml:space="preserve">schoetz-umzuege.com</t>
  </si>
  <si>
    <t xml:space="preserve">Hoffmann Umzugsfachspedition</t>
  </si>
  <si>
    <t xml:space="preserve">Liebes Hoffmann Umzugsfachspedition Team,</t>
  </si>
  <si>
    <t xml:space="preserve">dresden@hoffmann-umzug.de</t>
  </si>
  <si>
    <t xml:space="preserve">hoffmann-umzug.de</t>
  </si>
  <si>
    <t xml:space="preserve">Gramer Umzüge</t>
  </si>
  <si>
    <t xml:space="preserve">Liebes Gramer Umzüge Team,</t>
  </si>
  <si>
    <t xml:space="preserve">info@gramer-transport.de</t>
  </si>
  <si>
    <t xml:space="preserve">gramer-transport.de</t>
  </si>
  <si>
    <t xml:space="preserve">Heinzelmännchen Service GmbH</t>
  </si>
  <si>
    <t xml:space="preserve">Liebes Heinzelmännchen Service GmbH Team,</t>
  </si>
  <si>
    <t xml:space="preserve">info@heinzelmaennchen-transporte.de</t>
  </si>
  <si>
    <t xml:space="preserve">heinzelmaennchen-transporte.de</t>
  </si>
  <si>
    <t xml:space="preserve">DD Umzug</t>
  </si>
  <si>
    <t xml:space="preserve">Liebes DD Umzug Team,</t>
  </si>
  <si>
    <t xml:space="preserve">service@ddumzug.de</t>
  </si>
  <si>
    <t xml:space="preserve">ddumzug.de</t>
  </si>
  <si>
    <t xml:space="preserve">Zimmermann GmbH</t>
  </si>
  <si>
    <t xml:space="preserve">Liebes Zimmermann GmbH Team,</t>
  </si>
  <si>
    <t xml:space="preserve">kontakt@zimmermannumzug.de</t>
  </si>
  <si>
    <t xml:space="preserve">zimmermannumzug.de</t>
  </si>
  <si>
    <t xml:space="preserve">Umzugsprofi Körner</t>
  </si>
  <si>
    <t xml:space="preserve">Liebes Umzugsprofi Körner Team,</t>
  </si>
  <si>
    <t xml:space="preserve">info@umzugsprofi-koerner-dresden.de</t>
  </si>
  <si>
    <t xml:space="preserve">umzugsprofi-koerner-dresden.de</t>
  </si>
  <si>
    <t xml:space="preserve">Zirk &amp; Göschel</t>
  </si>
  <si>
    <t xml:space="preserve">Liebes Zirk &amp; Göschel Team,</t>
  </si>
  <si>
    <t xml:space="preserve">info@zirk-goeschel.de</t>
  </si>
  <si>
    <t xml:space="preserve">zirk-goeschel.de</t>
  </si>
  <si>
    <t xml:space="preserve">Leipzig</t>
  </si>
  <si>
    <t xml:space="preserve">Pietschke Umzüge</t>
  </si>
  <si>
    <t xml:space="preserve">Liebes Pietschke Umzüge Team,</t>
  </si>
  <si>
    <t xml:space="preserve">info@pietschke-umzuege.de</t>
  </si>
  <si>
    <t xml:space="preserve">umzug-leipzig.de</t>
  </si>
  <si>
    <t xml:space="preserve">Umzugsservice Easymove</t>
  </si>
  <si>
    <t xml:space="preserve">Liebes Umzugsservice Easymove Team,</t>
  </si>
  <si>
    <t xml:space="preserve">info@us-em.de</t>
  </si>
  <si>
    <t xml:space="preserve">umzugsservice-easymove.de</t>
  </si>
  <si>
    <t xml:space="preserve">Spehr-Umzüge GmbH</t>
  </si>
  <si>
    <t xml:space="preserve">Liebes Spehr-Umzüge GmbH Team,</t>
  </si>
  <si>
    <t xml:space="preserve">kontakt@spehr-umzuege.de</t>
  </si>
  <si>
    <t xml:space="preserve">spehr-umzuege.de</t>
  </si>
  <si>
    <t xml:space="preserve">MAKE Umzüge</t>
  </si>
  <si>
    <t xml:space="preserve">Liebes MAKE Umzüge Team,</t>
  </si>
  <si>
    <t xml:space="preserve">info@make-umzuege.de</t>
  </si>
  <si>
    <t xml:space="preserve">make-umzuege.de</t>
  </si>
  <si>
    <t xml:space="preserve">Umzüge Wüst</t>
  </si>
  <si>
    <t xml:space="preserve">Liebes Umzüge Wüst Team,</t>
  </si>
  <si>
    <t xml:space="preserve">info@umzug-kleintransport.de</t>
  </si>
  <si>
    <t xml:space="preserve">umzug-kleintransport.de</t>
  </si>
  <si>
    <t xml:space="preserve">Gebauer Spedition</t>
  </si>
  <si>
    <t xml:space="preserve">Liebes Gebauer Spedition Team,</t>
  </si>
  <si>
    <t xml:space="preserve">info@gebauer-umzug.de</t>
  </si>
  <si>
    <t xml:space="preserve">gebauer-umzug.de</t>
  </si>
  <si>
    <t xml:space="preserve">HANSETRANS</t>
  </si>
  <si>
    <t xml:space="preserve">Liebes HANSETRANS Team,</t>
  </si>
  <si>
    <t xml:space="preserve">leipzig.umzug@hansetrans.de</t>
  </si>
  <si>
    <t xml:space="preserve">hansetrans.de</t>
  </si>
  <si>
    <t xml:space="preserve">Liliya Spedition und Umzüge</t>
  </si>
  <si>
    <t xml:space="preserve">Liebes Liliya Spedition und Umzüge Team,</t>
  </si>
  <si>
    <t xml:space="preserve">liliya-umzug.de</t>
  </si>
  <si>
    <t xml:space="preserve">Nürnberg</t>
  </si>
  <si>
    <t xml:space="preserve">A-Z Umzüge Strohmann</t>
  </si>
  <si>
    <t xml:space="preserve">Liebes A-Z Umzüge Strohmann Team,</t>
  </si>
  <si>
    <t xml:space="preserve">info@strohmann.com</t>
  </si>
  <si>
    <t xml:space="preserve">strohmann.com</t>
  </si>
  <si>
    <t xml:space="preserve">Erich Seitz Umzüge</t>
  </si>
  <si>
    <t xml:space="preserve">Liebes Erich Seitz Umzüge Team,</t>
  </si>
  <si>
    <t xml:space="preserve">umzuege@seitz-gmbh.de</t>
  </si>
  <si>
    <t xml:space="preserve">umzugsunternehmennuernberg.de</t>
  </si>
  <si>
    <t xml:space="preserve">Umzüge Sachs</t>
  </si>
  <si>
    <t xml:space="preserve">Liebes Umzüge Sachs Team,</t>
  </si>
  <si>
    <t xml:space="preserve">info@umzuege-sachs.com</t>
  </si>
  <si>
    <t xml:space="preserve">umzuege-sachs.com</t>
  </si>
  <si>
    <t xml:space="preserve">KT Umzüge &amp; Transporte</t>
  </si>
  <si>
    <t xml:space="preserve">Liebes KT Umzüge &amp; Transporte Team,</t>
  </si>
  <si>
    <t xml:space="preserve">info@kt-umzuege-transporte.de</t>
  </si>
  <si>
    <t xml:space="preserve">kt-umzuege-transporte.de</t>
  </si>
  <si>
    <t xml:space="preserve">Umzüge Selisch</t>
  </si>
  <si>
    <t xml:space="preserve">Liebes Umzüge Selisch Team,</t>
  </si>
  <si>
    <t xml:space="preserve">kontakt@umzuege-selisch.de</t>
  </si>
  <si>
    <t xml:space="preserve">umzuege-selisch.de</t>
  </si>
  <si>
    <t xml:space="preserve">Fürther Montageservice</t>
  </si>
  <si>
    <t xml:space="preserve">Liebes Fürther Montageservice Team,</t>
  </si>
  <si>
    <t xml:space="preserve">kontakt@fuerther-montageservice.de</t>
  </si>
  <si>
    <t xml:space="preserve">fuerther-montageservice.de</t>
  </si>
  <si>
    <t xml:space="preserve">DACHSER &amp; KOLB</t>
  </si>
  <si>
    <t xml:space="preserve">Liebes DACHSER &amp; KOLB Team,</t>
  </si>
  <si>
    <t xml:space="preserve">info.nuernberg@dachser-kolb.de</t>
  </si>
  <si>
    <t xml:space="preserve">dachser-kolb.de</t>
  </si>
  <si>
    <t xml:space="preserve">München</t>
  </si>
  <si>
    <t xml:space="preserve">Michael Heimerl GmbH</t>
  </si>
  <si>
    <t xml:space="preserve">Liebes Michael Heimerl GmbH Team,</t>
  </si>
  <si>
    <t xml:space="preserve">info@heimerl.de</t>
  </si>
  <si>
    <t xml:space="preserve">heimerl.de</t>
  </si>
  <si>
    <t xml:space="preserve">SPAR Umzüge</t>
  </si>
  <si>
    <t xml:space="preserve">Liebes SPAR Umzüge Team,</t>
  </si>
  <si>
    <t xml:space="preserve">info@sparumzuege.de</t>
  </si>
  <si>
    <t xml:space="preserve">sparumzuege.de</t>
  </si>
  <si>
    <t xml:space="preserve">Paultrans Umzüge</t>
  </si>
  <si>
    <t xml:space="preserve">Liebes Paultrans Umzüge Team,</t>
  </si>
  <si>
    <t xml:space="preserve">info@paultrans-muenchen.de</t>
  </si>
  <si>
    <t xml:space="preserve">paultrans-muenchen.de</t>
  </si>
  <si>
    <t xml:space="preserve">Wetsch Möbel Logistik</t>
  </si>
  <si>
    <t xml:space="preserve">Liebes Wetsch Möbel Logistik Team,</t>
  </si>
  <si>
    <t xml:space="preserve">info@wetsch-gmbh.de</t>
  </si>
  <si>
    <t xml:space="preserve">wetsch-gmbh.com</t>
  </si>
  <si>
    <t xml:space="preserve">Rhenania Umzüge</t>
  </si>
  <si>
    <t xml:space="preserve">Liebes Rhenania Umzüge Team,</t>
  </si>
  <si>
    <t xml:space="preserve">info@rhenania-umzuege.de</t>
  </si>
  <si>
    <t xml:space="preserve">rhenania-umzuege.de</t>
  </si>
  <si>
    <t xml:space="preserve">Umzugsengel</t>
  </si>
  <si>
    <t xml:space="preserve">Liebes Umzugsengel Team,</t>
  </si>
  <si>
    <t xml:space="preserve">kontakt-online@umzugsengel.de</t>
  </si>
  <si>
    <t xml:space="preserve">umzugsengel.de</t>
  </si>
  <si>
    <t xml:space="preserve">Josef Füss Umzüge</t>
  </si>
  <si>
    <t xml:space="preserve">Liebes Josef Füss Umzüge Team,</t>
  </si>
  <si>
    <t xml:space="preserve">info@fuess-umzug.de</t>
  </si>
  <si>
    <t xml:space="preserve">fuess-umzug.de</t>
  </si>
  <si>
    <t xml:space="preserve">Stuttgart</t>
  </si>
  <si>
    <t xml:space="preserve">T&amp;U Transport und Umzugsservice</t>
  </si>
  <si>
    <t xml:space="preserve">Liebes T&amp;U Transport und Umzugsservice Team,</t>
  </si>
  <si>
    <t xml:space="preserve">info@tundu-stuttgart.de</t>
  </si>
  <si>
    <t xml:space="preserve">tundu-stuttgart.de</t>
  </si>
  <si>
    <t xml:space="preserve">Auracher Umzüge</t>
  </si>
  <si>
    <t xml:space="preserve">Liebes Auracher Umzüge Team,</t>
  </si>
  <si>
    <t xml:space="preserve">info@auracher-umzuege.de</t>
  </si>
  <si>
    <t xml:space="preserve">auracher-umzuege.de</t>
  </si>
  <si>
    <t xml:space="preserve">Schulz Umzüge</t>
  </si>
  <si>
    <t xml:space="preserve">Liebes Schulz Umzüge Team,</t>
  </si>
  <si>
    <t xml:space="preserve">kontakt@schulzumzuege.de</t>
  </si>
  <si>
    <t xml:space="preserve">schulzumzuege.de</t>
  </si>
  <si>
    <t xml:space="preserve">Blink Umzug</t>
  </si>
  <si>
    <t xml:space="preserve">Liebes Blink Umzug Team,</t>
  </si>
  <si>
    <t xml:space="preserve">office@blink-umzug.de</t>
  </si>
  <si>
    <t xml:space="preserve">blink-umzug.de</t>
  </si>
  <si>
    <t xml:space="preserve">Karl Löhle GmbH</t>
  </si>
  <si>
    <t xml:space="preserve">Liebes Karl Löhle GmbH Team,</t>
  </si>
  <si>
    <t xml:space="preserve">info@loehle-umzuege.de</t>
  </si>
  <si>
    <t xml:space="preserve">loehle-umzuege.de</t>
  </si>
  <si>
    <t xml:space="preserve">Freiburg</t>
  </si>
  <si>
    <t xml:space="preserve">Möbelspedition Schwarz</t>
  </si>
  <si>
    <t xml:space="preserve">Liebes Möbelspedition Schwarz Team,</t>
  </si>
  <si>
    <t xml:space="preserve">info@schwarz-umzuege.de</t>
  </si>
  <si>
    <t xml:space="preserve">schwarz-umzuege.de</t>
  </si>
  <si>
    <t xml:space="preserve">Rote Radler</t>
  </si>
  <si>
    <t xml:space="preserve">Liebes Rote Radler Team,</t>
  </si>
  <si>
    <t xml:space="preserve">info@rote-radler.de</t>
  </si>
  <si>
    <t xml:space="preserve">rote-radler.de</t>
  </si>
  <si>
    <t xml:space="preserve">Nordwind Umzüge</t>
  </si>
  <si>
    <t xml:space="preserve">Liebes Nordwind Umzüge Team,</t>
  </si>
  <si>
    <t xml:space="preserve">service@nordwind-umzuege.de</t>
  </si>
  <si>
    <t xml:space="preserve">nordwind-umzuege.de</t>
  </si>
  <si>
    <t xml:space="preserve">BZ-Umzüge &amp; Entrümpelungen</t>
  </si>
  <si>
    <t xml:space="preserve">Liebes BZ-Umzüge &amp; Entrümpelungen Team,</t>
  </si>
  <si>
    <t xml:space="preserve">info@bz-umzuege.de</t>
  </si>
  <si>
    <t xml:space="preserve">bz-umzuege.de</t>
  </si>
  <si>
    <t xml:space="preserve">Zenith Umzüge</t>
  </si>
  <si>
    <t xml:space="preserve">Liebes Zenith Umzüge Team,</t>
  </si>
  <si>
    <t xml:space="preserve">info@zenith-umzuege.de</t>
  </si>
  <si>
    <t xml:space="preserve">zenith-umzuege.de</t>
  </si>
  <si>
    <t xml:space="preserve">📊  Dashboard – Tracking-Übersicht nach Stadt</t>
  </si>
  <si>
    <t xml:space="preserve">Gesamt</t>
  </si>
  <si>
    <t xml:space="preserve">Mail 1 gesendet</t>
  </si>
  <si>
    <t xml:space="preserve">Antwort erhalten</t>
  </si>
  <si>
    <t xml:space="preserve">Follow-up gesendet</t>
  </si>
  <si>
    <t xml:space="preserve">Kooperation</t>
  </si>
  <si>
    <t xml:space="preserve">Kein Interesse</t>
  </si>
  <si>
    <t xml:space="preserve">Offen</t>
  </si>
  <si>
    <t xml:space="preserve">GESAMT</t>
  </si>
  <si>
    <t xml:space="preserve">🤖  n8n Workflow – Mail-Versand Automatisierung</t>
  </si>
  <si>
    <t xml:space="preserve">WORKFLOW AUFBAU</t>
  </si>
  <si>
    <t xml:space="preserve">Node 1</t>
  </si>
  <si>
    <t xml:space="preserve">📅 Schedule Trigger oder manueller Start</t>
  </si>
  <si>
    <t xml:space="preserve">Node 2</t>
  </si>
  <si>
    <t xml:space="preserve">📊 Google Sheets / Excel: Zeilen lesen (Status = 'Offen')</t>
  </si>
  <si>
    <t xml:space="preserve">Node 3</t>
  </si>
  <si>
    <t xml:space="preserve">🔀 IF: E-Mail vorhanden? (kein 'keine E-Mail gefunden')</t>
  </si>
  <si>
    <t xml:space="preserve">Node 4</t>
  </si>
  <si>
    <t xml:space="preserve">✉️  Gmail / SMTP: Mail 1 senden mit Feldern unten</t>
  </si>
  <si>
    <t xml:space="preserve">Node 5</t>
  </si>
  <si>
    <t xml:space="preserve">📝 Sheets updaten: Mail 1 Datum + Status auf '✅ Gesendet'</t>
  </si>
  <si>
    <t xml:space="preserve">Node 6</t>
  </si>
  <si>
    <t xml:space="preserve">⏰  Wait Node (z.B. 7 Tage) → dann auf Antwort prüfen</t>
  </si>
  <si>
    <t xml:space="preserve">Node 7</t>
  </si>
  <si>
    <t xml:space="preserve">📊 Sheets lesen: Antwort = '—'? → Follow-up Mail senden</t>
  </si>
  <si>
    <t xml:space="preserve">Node 8</t>
  </si>
  <si>
    <t xml:space="preserve">✉️  Gmail / SMTP: Mail 2 senden</t>
  </si>
  <si>
    <t xml:space="preserve">Node 9</t>
  </si>
  <si>
    <t xml:space="preserve">📝 Sheets updaten: Mail 2 Datum + Status</t>
  </si>
  <si>
    <t xml:space="preserve">MAIL-FELDER</t>
  </si>
  <si>
    <t xml:space="preserve">Wert / n8n Variable</t>
  </si>
  <si>
    <t xml:space="preserve">An (To)</t>
  </si>
  <si>
    <t xml:space="preserve">{{ $json.E-Mail-Adresse }}</t>
  </si>
  <si>
    <t xml:space="preserve">Betreff</t>
  </si>
  <si>
    <t xml:space="preserve">Kooperationsanfrage – Ihr Umzugsservice in {{ $json.Stadt }}</t>
  </si>
  <si>
    <t xml:space="preserve">Anrede</t>
  </si>
  <si>
    <t xml:space="preserve">{{ $json['Anrede (Mail)'] }}</t>
  </si>
  <si>
    <t xml:space="preserve">{{ $executionId }}  → in Spalte O eintragen</t>
  </si>
  <si>
    <t xml:space="preserve">FILTER-LOGIK</t>
  </si>
  <si>
    <t xml:space="preserve">Beschreibung</t>
  </si>
  <si>
    <t xml:space="preserve">Mail 1 Filter</t>
  </si>
  <si>
    <t xml:space="preserve">Gesamt-Status = '🟡 Offen' UND E-Mail ≠ 'keine E-Mail gefunden'</t>
  </si>
  <si>
    <t xml:space="preserve">Mail 2 Filter</t>
  </si>
  <si>
    <t xml:space="preserve">Gesamt-Status = '📨 Mail 1 gesendet' UND Antwort = '—'</t>
  </si>
  <si>
    <t xml:space="preserve">TIPP</t>
  </si>
  <si>
    <t xml:space="preserve">Nutze den 'HTTP Request' Node um die Execution-ID in Spalte O zurückzuschreiben</t>
  </si>
  <si>
    <t xml:space="preserve">Füge eine 'Error Handler' Node ein für fehlgeschlagene Mails (→ Status '❌ Fehler')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</si>
</sst>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2D3D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2E86AB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CC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2D3D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2D3D"/>
        <bgColor rgb="FF333333"/>
      </patternFill>
    </fill>
    <fill>
      <patternFill patternType="solid">
        <fgColor rgb="FFF2F2F2"/>
        <bgColor rgb="FFF1F8E9"/>
      </patternFill>
    </fill>
    <fill>
      <patternFill patternType="solid">
        <fgColor rgb="FF2E86AB"/>
        <bgColor rgb="FF008080"/>
      </patternFill>
    </fill>
    <fill>
      <patternFill patternType="solid">
        <fgColor rgb="FFEAF4FB"/>
        <bgColor rgb="FFE1F5FE"/>
      </patternFill>
    </fill>
    <fill>
      <patternFill patternType="solid">
        <fgColor rgb="FFFFF3CD"/>
        <bgColor rgb="FFFFF3E0"/>
      </patternFill>
    </fill>
    <fill>
      <patternFill patternType="solid">
        <fgColor rgb="FFFFFFFF"/>
        <bgColor rgb="FFF9FBE7"/>
      </patternFill>
    </fill>
    <fill>
      <patternFill patternType="solid">
        <fgColor rgb="FFFFF8E1"/>
        <bgColor rgb="FFFFF3E0"/>
      </patternFill>
    </fill>
    <fill>
      <patternFill patternType="solid">
        <fgColor rgb="FFF3E5F5"/>
        <bgColor rgb="FFFCE4EC"/>
      </patternFill>
    </fill>
    <fill>
      <patternFill patternType="solid">
        <fgColor rgb="FFE8F5E9"/>
        <bgColor rgb="FFF1F8E9"/>
      </patternFill>
    </fill>
    <fill>
      <patternFill patternType="solid">
        <fgColor rgb="FFFCE4EC"/>
        <bgColor rgb="FFFBE9E7"/>
      </patternFill>
    </fill>
    <fill>
      <patternFill patternType="solid">
        <fgColor rgb="FFE0F2F1"/>
        <bgColor rgb="FFE1F5FE"/>
      </patternFill>
    </fill>
    <fill>
      <patternFill patternType="solid">
        <fgColor rgb="FFFBE9E7"/>
        <bgColor rgb="FFFCE4EC"/>
      </patternFill>
    </fill>
    <fill>
      <patternFill patternType="solid">
        <fgColor rgb="FFE8EAF6"/>
        <bgColor rgb="FFF3E5F5"/>
      </patternFill>
    </fill>
    <fill>
      <patternFill patternType="solid">
        <fgColor rgb="FFF9FBE7"/>
        <bgColor rgb="FFFFF8E1"/>
      </patternFill>
    </fill>
    <fill>
      <patternFill patternType="solid">
        <fgColor rgb="FFE1F5FE"/>
        <bgColor rgb="FFE0F2F1"/>
      </patternFill>
    </fill>
    <fill>
      <patternFill patternType="solid">
        <fgColor rgb="FFFFF3E0"/>
        <bgColor rgb="FFFFF8E1"/>
      </patternFill>
    </fill>
    <fill>
      <patternFill patternType="solid">
        <fgColor rgb="FFF1F8E9"/>
        <bgColor rgb="FFF9FBE7"/>
      </patternFill>
    </fill>
    <fill>
      <patternFill patternType="solid">
        <fgColor rgb="FFD4EDDA"/>
        <bgColor rgb="FFE0F2F1"/>
      </patternFill>
    </fill>
    <fill>
      <patternFill patternType="solid">
        <fgColor rgb="FFF8D7DA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2E86AB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1F5FE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AF4FB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9FBE7"/>
          <bgColor rgb="FF000000"/>
        </patternFill>
      </fill>
    </dxf>
    <dxf>
      <fill>
        <patternFill patternType="solid">
          <fgColor rgb="FFFBE9E7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D3D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EAF4FB"/>
      <rgbColor rgb="FF993366"/>
      <rgbColor rgb="FFFFF8E1"/>
      <rgbColor rgb="FFE1F5FE"/>
      <rgbColor rgb="FF660066"/>
      <rgbColor rgb="FFFF8080"/>
      <rgbColor rgb="FF0066CC"/>
      <rgbColor rgb="FFE8EAF6"/>
      <rgbColor rgb="FF000080"/>
      <rgbColor rgb="FFFF00FF"/>
      <rgbColor rgb="FFF9FBE7"/>
      <rgbColor rgb="FF00FFFF"/>
      <rgbColor rgb="FF800080"/>
      <rgbColor rgb="FF800000"/>
      <rgbColor rgb="FF008080"/>
      <rgbColor rgb="FF0000FF"/>
      <rgbColor rgb="FF00CCFF"/>
      <rgbColor rgb="FFE0F2F1"/>
      <rgbColor rgb="FFD4EDDA"/>
      <rgbColor rgb="FFFFF3CD"/>
      <rgbColor rgb="FFF3E5F5"/>
      <rgbColor rgb="FFFCE4EC"/>
      <rgbColor rgb="FFFBE9E7"/>
      <rgbColor rgb="FFF8D7DA"/>
      <rgbColor rgb="FF3366FF"/>
      <rgbColor rgb="FF33CCCC"/>
      <rgbColor rgb="FFF1F8E9"/>
      <rgbColor rgb="FFE8F5E9"/>
      <rgbColor rgb="FFFF9900"/>
      <rgbColor rgb="FFFF6600"/>
      <rgbColor rgb="FF666666"/>
      <rgbColor rgb="FFF2F2F2"/>
      <rgbColor rgb="FF1F2D3D"/>
      <rgbColor rgb="FF2E86AB"/>
      <rgbColor rgb="FF003300"/>
      <rgbColor rgb="FF333300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5" min="5" style="0" width="34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35"/>
    <col collapsed="false" customWidth="true" hidden="false" outlineLevel="0" max="15" min="15" style="0" width="1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customFormat="false" ht="15.75" hidden="false" customHeight="true" outlineLevel="0" collapsed="false">
      <c r="A4" s="4" t="n">
        <v>1</v>
      </c>
      <c r="B4" s="5" t="s">
        <v>17</v>
      </c>
      <c r="C4" s="6" t="s">
        <v>18</v>
      </c>
      <c r="D4" s="7" t="s">
        <v>19</v>
      </c>
      <c r="E4" s="8" t="s">
        <v>20</v>
      </c>
      <c r="F4" s="9" t="s">
        <v>21</v>
      </c>
      <c r="G4" s="4"/>
      <c r="H4" s="10" t="s">
        <v>22</v>
      </c>
      <c r="I4" s="4" t="s">
        <v>23</v>
      </c>
      <c r="J4" s="4"/>
      <c r="K4" s="4"/>
      <c r="L4" s="10" t="s">
        <v>22</v>
      </c>
      <c r="M4" s="4" t="s">
        <v>24</v>
      </c>
      <c r="N4" s="11"/>
      <c r="O4" s="12"/>
    </row>
    <row r="5" customFormat="false" ht="15.75" hidden="false" customHeight="true" outlineLevel="0" collapsed="false">
      <c r="A5" s="4" t="n">
        <v>2</v>
      </c>
      <c r="B5" s="5" t="s">
        <v>17</v>
      </c>
      <c r="C5" s="6" t="s">
        <v>25</v>
      </c>
      <c r="D5" s="7" t="s">
        <v>26</v>
      </c>
      <c r="E5" s="8" t="s">
        <v>27</v>
      </c>
      <c r="F5" s="9" t="s">
        <v>28</v>
      </c>
      <c r="G5" s="4"/>
      <c r="H5" s="10" t="s">
        <v>22</v>
      </c>
      <c r="I5" s="4" t="s">
        <v>23</v>
      </c>
      <c r="J5" s="4"/>
      <c r="K5" s="4"/>
      <c r="L5" s="10" t="s">
        <v>22</v>
      </c>
      <c r="M5" s="4" t="s">
        <v>24</v>
      </c>
      <c r="N5" s="11"/>
      <c r="O5" s="12"/>
    </row>
    <row r="6" customFormat="false" ht="15.75" hidden="false" customHeight="true" outlineLevel="0" collapsed="false">
      <c r="A6" s="4" t="n">
        <v>3</v>
      </c>
      <c r="B6" s="5" t="s">
        <v>17</v>
      </c>
      <c r="C6" s="6" t="s">
        <v>29</v>
      </c>
      <c r="D6" s="7" t="s">
        <v>30</v>
      </c>
      <c r="E6" s="8" t="s">
        <v>31</v>
      </c>
      <c r="F6" s="9" t="s">
        <v>32</v>
      </c>
      <c r="G6" s="4"/>
      <c r="H6" s="10" t="s">
        <v>22</v>
      </c>
      <c r="I6" s="4" t="s">
        <v>23</v>
      </c>
      <c r="J6" s="4"/>
      <c r="K6" s="4"/>
      <c r="L6" s="10" t="s">
        <v>22</v>
      </c>
      <c r="M6" s="4" t="s">
        <v>24</v>
      </c>
      <c r="N6" s="11"/>
      <c r="O6" s="12"/>
    </row>
    <row r="7" customFormat="false" ht="15.75" hidden="false" customHeight="true" outlineLevel="0" collapsed="false">
      <c r="A7" s="4" t="n">
        <v>4</v>
      </c>
      <c r="B7" s="5" t="s">
        <v>17</v>
      </c>
      <c r="C7" s="6" t="s">
        <v>33</v>
      </c>
      <c r="D7" s="7" t="s">
        <v>34</v>
      </c>
      <c r="E7" s="8" t="s">
        <v>35</v>
      </c>
      <c r="F7" s="9" t="s">
        <v>36</v>
      </c>
      <c r="G7" s="4"/>
      <c r="H7" s="10" t="s">
        <v>22</v>
      </c>
      <c r="I7" s="4" t="s">
        <v>23</v>
      </c>
      <c r="J7" s="4"/>
      <c r="K7" s="4"/>
      <c r="L7" s="10" t="s">
        <v>22</v>
      </c>
      <c r="M7" s="4" t="s">
        <v>24</v>
      </c>
      <c r="N7" s="11"/>
      <c r="O7" s="12"/>
    </row>
    <row r="8" customFormat="false" ht="15.75" hidden="false" customHeight="true" outlineLevel="0" collapsed="false">
      <c r="A8" s="4" t="n">
        <v>5</v>
      </c>
      <c r="B8" s="5" t="s">
        <v>17</v>
      </c>
      <c r="C8" s="6" t="s">
        <v>37</v>
      </c>
      <c r="D8" s="7" t="s">
        <v>38</v>
      </c>
      <c r="E8" s="8" t="s">
        <v>39</v>
      </c>
      <c r="F8" s="9" t="s">
        <v>40</v>
      </c>
      <c r="G8" s="4"/>
      <c r="H8" s="10" t="s">
        <v>22</v>
      </c>
      <c r="I8" s="4" t="s">
        <v>23</v>
      </c>
      <c r="J8" s="4"/>
      <c r="K8" s="4"/>
      <c r="L8" s="10" t="s">
        <v>22</v>
      </c>
      <c r="M8" s="4" t="s">
        <v>24</v>
      </c>
      <c r="N8" s="11"/>
      <c r="O8" s="12"/>
    </row>
    <row r="9" customFormat="false" ht="15.75" hidden="false" customHeight="true" outlineLevel="0" collapsed="false">
      <c r="A9" s="4" t="n">
        <v>6</v>
      </c>
      <c r="B9" s="5" t="s">
        <v>17</v>
      </c>
      <c r="C9" s="6" t="s">
        <v>41</v>
      </c>
      <c r="D9" s="7" t="s">
        <v>42</v>
      </c>
      <c r="E9" s="8" t="s">
        <v>43</v>
      </c>
      <c r="F9" s="9" t="s">
        <v>44</v>
      </c>
      <c r="G9" s="4"/>
      <c r="H9" s="10" t="s">
        <v>22</v>
      </c>
      <c r="I9" s="4" t="s">
        <v>23</v>
      </c>
      <c r="J9" s="4"/>
      <c r="K9" s="4"/>
      <c r="L9" s="10" t="s">
        <v>22</v>
      </c>
      <c r="M9" s="4" t="s">
        <v>24</v>
      </c>
      <c r="N9" s="11"/>
      <c r="O9" s="12"/>
    </row>
    <row r="10" customFormat="false" ht="15.75" hidden="false" customHeight="true" outlineLevel="0" collapsed="false">
      <c r="A10" s="4" t="n">
        <v>7</v>
      </c>
      <c r="B10" s="5" t="s">
        <v>17</v>
      </c>
      <c r="C10" s="6" t="s">
        <v>45</v>
      </c>
      <c r="D10" s="7" t="s">
        <v>46</v>
      </c>
      <c r="E10" s="8" t="s">
        <v>47</v>
      </c>
      <c r="F10" s="9" t="s">
        <v>48</v>
      </c>
      <c r="G10" s="4"/>
      <c r="H10" s="10" t="s">
        <v>22</v>
      </c>
      <c r="I10" s="4" t="s">
        <v>23</v>
      </c>
      <c r="J10" s="4"/>
      <c r="K10" s="4"/>
      <c r="L10" s="10" t="s">
        <v>22</v>
      </c>
      <c r="M10" s="4" t="s">
        <v>24</v>
      </c>
      <c r="N10" s="11"/>
      <c r="O10" s="12"/>
    </row>
    <row r="11" customFormat="false" ht="15.75" hidden="false" customHeight="true" outlineLevel="0" collapsed="false">
      <c r="A11" s="4" t="n">
        <v>8</v>
      </c>
      <c r="B11" s="5" t="s">
        <v>17</v>
      </c>
      <c r="C11" s="6" t="s">
        <v>49</v>
      </c>
      <c r="D11" s="7" t="s">
        <v>50</v>
      </c>
      <c r="E11" s="8" t="s">
        <v>51</v>
      </c>
      <c r="F11" s="9" t="s">
        <v>52</v>
      </c>
      <c r="G11" s="4"/>
      <c r="H11" s="10" t="s">
        <v>22</v>
      </c>
      <c r="I11" s="4" t="s">
        <v>23</v>
      </c>
      <c r="J11" s="4"/>
      <c r="K11" s="4"/>
      <c r="L11" s="10" t="s">
        <v>22</v>
      </c>
      <c r="M11" s="4" t="s">
        <v>24</v>
      </c>
      <c r="N11" s="11"/>
      <c r="O11" s="12"/>
    </row>
    <row r="12" customFormat="false" ht="15.75" hidden="false" customHeight="true" outlineLevel="0" collapsed="false">
      <c r="A12" s="4" t="n">
        <v>9</v>
      </c>
      <c r="B12" s="5" t="s">
        <v>17</v>
      </c>
      <c r="C12" s="6" t="s">
        <v>53</v>
      </c>
      <c r="D12" s="7" t="s">
        <v>54</v>
      </c>
      <c r="E12" s="8" t="s">
        <v>55</v>
      </c>
      <c r="F12" s="9" t="s">
        <v>56</v>
      </c>
      <c r="G12" s="4"/>
      <c r="H12" s="10" t="s">
        <v>22</v>
      </c>
      <c r="I12" s="4" t="s">
        <v>23</v>
      </c>
      <c r="J12" s="4"/>
      <c r="K12" s="4"/>
      <c r="L12" s="10" t="s">
        <v>22</v>
      </c>
      <c r="M12" s="4" t="s">
        <v>24</v>
      </c>
      <c r="N12" s="11"/>
      <c r="O12" s="12"/>
    </row>
    <row r="13" customFormat="false" ht="15.75" hidden="false" customHeight="true" outlineLevel="0" collapsed="false">
      <c r="A13" s="13" t="n">
        <v>10</v>
      </c>
      <c r="B13" s="14" t="s">
        <v>57</v>
      </c>
      <c r="C13" s="15" t="s">
        <v>58</v>
      </c>
      <c r="D13" s="16" t="s">
        <v>59</v>
      </c>
      <c r="E13" s="17" t="s">
        <v>60</v>
      </c>
      <c r="F13" s="18" t="s">
        <v>61</v>
      </c>
      <c r="G13" s="13"/>
      <c r="H13" s="10" t="s">
        <v>22</v>
      </c>
      <c r="I13" s="13" t="s">
        <v>23</v>
      </c>
      <c r="J13" s="13"/>
      <c r="K13" s="13"/>
      <c r="L13" s="10" t="s">
        <v>22</v>
      </c>
      <c r="M13" s="4" t="s">
        <v>24</v>
      </c>
      <c r="N13" s="11"/>
      <c r="O13" s="12"/>
    </row>
    <row r="14" customFormat="false" ht="15.75" hidden="false" customHeight="true" outlineLevel="0" collapsed="false">
      <c r="A14" s="13" t="n">
        <v>11</v>
      </c>
      <c r="B14" s="14" t="s">
        <v>57</v>
      </c>
      <c r="C14" s="15" t="s">
        <v>62</v>
      </c>
      <c r="D14" s="16" t="s">
        <v>63</v>
      </c>
      <c r="E14" s="17" t="s">
        <v>64</v>
      </c>
      <c r="F14" s="18" t="s">
        <v>65</v>
      </c>
      <c r="G14" s="13"/>
      <c r="H14" s="10" t="s">
        <v>22</v>
      </c>
      <c r="I14" s="13" t="s">
        <v>23</v>
      </c>
      <c r="J14" s="13"/>
      <c r="K14" s="13"/>
      <c r="L14" s="10" t="s">
        <v>22</v>
      </c>
      <c r="M14" s="4" t="s">
        <v>24</v>
      </c>
      <c r="N14" s="11"/>
      <c r="O14" s="12"/>
    </row>
    <row r="15" customFormat="false" ht="15.75" hidden="false" customHeight="true" outlineLevel="0" collapsed="false">
      <c r="A15" s="13" t="n">
        <v>12</v>
      </c>
      <c r="B15" s="14" t="s">
        <v>57</v>
      </c>
      <c r="C15" s="15" t="s">
        <v>66</v>
      </c>
      <c r="D15" s="16" t="s">
        <v>67</v>
      </c>
      <c r="E15" s="17" t="s">
        <v>68</v>
      </c>
      <c r="F15" s="18" t="s">
        <v>69</v>
      </c>
      <c r="G15" s="13"/>
      <c r="H15" s="10" t="s">
        <v>22</v>
      </c>
      <c r="I15" s="13" t="s">
        <v>23</v>
      </c>
      <c r="J15" s="13"/>
      <c r="K15" s="13"/>
      <c r="L15" s="10" t="s">
        <v>22</v>
      </c>
      <c r="M15" s="4" t="s">
        <v>24</v>
      </c>
      <c r="N15" s="11"/>
      <c r="O15" s="12"/>
    </row>
    <row r="16" customFormat="false" ht="15.75" hidden="false" customHeight="true" outlineLevel="0" collapsed="false">
      <c r="A16" s="13" t="n">
        <v>13</v>
      </c>
      <c r="B16" s="14" t="s">
        <v>57</v>
      </c>
      <c r="C16" s="15" t="s">
        <v>70</v>
      </c>
      <c r="D16" s="16" t="s">
        <v>71</v>
      </c>
      <c r="E16" s="17" t="s">
        <v>72</v>
      </c>
      <c r="F16" s="18" t="s">
        <v>73</v>
      </c>
      <c r="G16" s="13"/>
      <c r="H16" s="10" t="s">
        <v>22</v>
      </c>
      <c r="I16" s="13" t="s">
        <v>23</v>
      </c>
      <c r="J16" s="13"/>
      <c r="K16" s="13"/>
      <c r="L16" s="10" t="s">
        <v>22</v>
      </c>
      <c r="M16" s="4" t="s">
        <v>24</v>
      </c>
      <c r="N16" s="11"/>
      <c r="O16" s="12"/>
    </row>
    <row r="17" customFormat="false" ht="15.75" hidden="false" customHeight="true" outlineLevel="0" collapsed="false">
      <c r="A17" s="13" t="n">
        <v>14</v>
      </c>
      <c r="B17" s="14" t="s">
        <v>57</v>
      </c>
      <c r="C17" s="15" t="s">
        <v>74</v>
      </c>
      <c r="D17" s="16" t="s">
        <v>75</v>
      </c>
      <c r="E17" s="17" t="s">
        <v>76</v>
      </c>
      <c r="F17" s="18" t="s">
        <v>77</v>
      </c>
      <c r="G17" s="13"/>
      <c r="H17" s="10" t="s">
        <v>22</v>
      </c>
      <c r="I17" s="13" t="s">
        <v>23</v>
      </c>
      <c r="J17" s="13"/>
      <c r="K17" s="13"/>
      <c r="L17" s="10" t="s">
        <v>22</v>
      </c>
      <c r="M17" s="4" t="s">
        <v>24</v>
      </c>
      <c r="N17" s="11"/>
      <c r="O17" s="12"/>
    </row>
    <row r="18" customFormat="false" ht="15.75" hidden="false" customHeight="true" outlineLevel="0" collapsed="false">
      <c r="A18" s="13" t="n">
        <v>15</v>
      </c>
      <c r="B18" s="14" t="s">
        <v>57</v>
      </c>
      <c r="C18" s="15" t="s">
        <v>78</v>
      </c>
      <c r="D18" s="16" t="s">
        <v>79</v>
      </c>
      <c r="E18" s="17" t="s">
        <v>80</v>
      </c>
      <c r="F18" s="18" t="s">
        <v>81</v>
      </c>
      <c r="G18" s="13"/>
      <c r="H18" s="10" t="s">
        <v>22</v>
      </c>
      <c r="I18" s="13" t="s">
        <v>23</v>
      </c>
      <c r="J18" s="13"/>
      <c r="K18" s="13"/>
      <c r="L18" s="10" t="s">
        <v>22</v>
      </c>
      <c r="M18" s="4" t="s">
        <v>24</v>
      </c>
      <c r="N18" s="11"/>
      <c r="O18" s="12"/>
    </row>
    <row r="19" customFormat="false" ht="15.75" hidden="false" customHeight="true" outlineLevel="0" collapsed="false">
      <c r="A19" s="13" t="n">
        <v>16</v>
      </c>
      <c r="B19" s="14" t="s">
        <v>57</v>
      </c>
      <c r="C19" s="15" t="s">
        <v>82</v>
      </c>
      <c r="D19" s="16" t="s">
        <v>83</v>
      </c>
      <c r="E19" s="17" t="s">
        <v>84</v>
      </c>
      <c r="F19" s="18" t="s">
        <v>85</v>
      </c>
      <c r="G19" s="13"/>
      <c r="H19" s="10" t="s">
        <v>22</v>
      </c>
      <c r="I19" s="13" t="s">
        <v>23</v>
      </c>
      <c r="J19" s="13"/>
      <c r="K19" s="13"/>
      <c r="L19" s="10" t="s">
        <v>22</v>
      </c>
      <c r="M19" s="4" t="s">
        <v>24</v>
      </c>
      <c r="N19" s="11"/>
      <c r="O19" s="12"/>
    </row>
    <row r="20" customFormat="false" ht="15.75" hidden="false" customHeight="true" outlineLevel="0" collapsed="false">
      <c r="A20" s="13" t="n">
        <v>17</v>
      </c>
      <c r="B20" s="14" t="s">
        <v>57</v>
      </c>
      <c r="C20" s="15" t="s">
        <v>86</v>
      </c>
      <c r="D20" s="16" t="s">
        <v>87</v>
      </c>
      <c r="E20" s="17" t="s">
        <v>88</v>
      </c>
      <c r="F20" s="18" t="s">
        <v>89</v>
      </c>
      <c r="G20" s="13"/>
      <c r="H20" s="10" t="s">
        <v>22</v>
      </c>
      <c r="I20" s="13" t="s">
        <v>23</v>
      </c>
      <c r="J20" s="13"/>
      <c r="K20" s="13"/>
      <c r="L20" s="10" t="s">
        <v>22</v>
      </c>
      <c r="M20" s="4" t="s">
        <v>24</v>
      </c>
      <c r="N20" s="11"/>
      <c r="O20" s="12"/>
    </row>
    <row r="21" customFormat="false" ht="15.75" hidden="false" customHeight="true" outlineLevel="0" collapsed="false">
      <c r="A21" s="13" t="n">
        <v>18</v>
      </c>
      <c r="B21" s="14" t="s">
        <v>57</v>
      </c>
      <c r="C21" s="15" t="s">
        <v>90</v>
      </c>
      <c r="D21" s="16" t="s">
        <v>91</v>
      </c>
      <c r="E21" s="17" t="s">
        <v>92</v>
      </c>
      <c r="F21" s="18" t="s">
        <v>93</v>
      </c>
      <c r="G21" s="13"/>
      <c r="H21" s="10" t="s">
        <v>22</v>
      </c>
      <c r="I21" s="13" t="s">
        <v>23</v>
      </c>
      <c r="J21" s="13"/>
      <c r="K21" s="13"/>
      <c r="L21" s="10" t="s">
        <v>22</v>
      </c>
      <c r="M21" s="4" t="s">
        <v>24</v>
      </c>
      <c r="N21" s="11"/>
      <c r="O21" s="12"/>
    </row>
    <row r="22" customFormat="false" ht="15.75" hidden="false" customHeight="true" outlineLevel="0" collapsed="false">
      <c r="A22" s="19" t="n">
        <v>19</v>
      </c>
      <c r="B22" s="20" t="s">
        <v>94</v>
      </c>
      <c r="C22" s="21" t="s">
        <v>95</v>
      </c>
      <c r="D22" s="22" t="s">
        <v>96</v>
      </c>
      <c r="E22" s="23" t="s">
        <v>97</v>
      </c>
      <c r="F22" s="24" t="s">
        <v>98</v>
      </c>
      <c r="G22" s="19"/>
      <c r="H22" s="10" t="s">
        <v>22</v>
      </c>
      <c r="I22" s="19" t="s">
        <v>23</v>
      </c>
      <c r="J22" s="19"/>
      <c r="K22" s="19"/>
      <c r="L22" s="10" t="s">
        <v>22</v>
      </c>
      <c r="M22" s="4" t="s">
        <v>24</v>
      </c>
      <c r="N22" s="11"/>
      <c r="O22" s="12"/>
    </row>
    <row r="23" customFormat="false" ht="15.75" hidden="false" customHeight="true" outlineLevel="0" collapsed="false">
      <c r="A23" s="19" t="n">
        <v>20</v>
      </c>
      <c r="B23" s="20" t="s">
        <v>94</v>
      </c>
      <c r="C23" s="21" t="s">
        <v>99</v>
      </c>
      <c r="D23" s="22" t="s">
        <v>100</v>
      </c>
      <c r="E23" s="23" t="s">
        <v>101</v>
      </c>
      <c r="F23" s="24" t="s">
        <v>102</v>
      </c>
      <c r="G23" s="19"/>
      <c r="H23" s="10" t="s">
        <v>22</v>
      </c>
      <c r="I23" s="19" t="s">
        <v>23</v>
      </c>
      <c r="J23" s="19"/>
      <c r="K23" s="19"/>
      <c r="L23" s="10" t="s">
        <v>22</v>
      </c>
      <c r="M23" s="4" t="s">
        <v>24</v>
      </c>
      <c r="N23" s="11"/>
      <c r="O23" s="12"/>
    </row>
    <row r="24" customFormat="false" ht="15.75" hidden="false" customHeight="true" outlineLevel="0" collapsed="false">
      <c r="A24" s="19" t="n">
        <v>21</v>
      </c>
      <c r="B24" s="20" t="s">
        <v>94</v>
      </c>
      <c r="C24" s="21" t="s">
        <v>103</v>
      </c>
      <c r="D24" s="22" t="s">
        <v>104</v>
      </c>
      <c r="E24" s="23" t="s">
        <v>105</v>
      </c>
      <c r="F24" s="24" t="s">
        <v>106</v>
      </c>
      <c r="G24" s="19"/>
      <c r="H24" s="10" t="s">
        <v>22</v>
      </c>
      <c r="I24" s="19" t="s">
        <v>23</v>
      </c>
      <c r="J24" s="19"/>
      <c r="K24" s="19"/>
      <c r="L24" s="10" t="s">
        <v>22</v>
      </c>
      <c r="M24" s="4" t="s">
        <v>24</v>
      </c>
      <c r="N24" s="11"/>
      <c r="O24" s="12"/>
    </row>
    <row r="25" customFormat="false" ht="15.75" hidden="false" customHeight="true" outlineLevel="0" collapsed="false">
      <c r="A25" s="19" t="n">
        <v>22</v>
      </c>
      <c r="B25" s="20" t="s">
        <v>94</v>
      </c>
      <c r="C25" s="21" t="s">
        <v>107</v>
      </c>
      <c r="D25" s="22" t="s">
        <v>108</v>
      </c>
      <c r="E25" s="23" t="s">
        <v>109</v>
      </c>
      <c r="F25" s="24" t="s">
        <v>110</v>
      </c>
      <c r="G25" s="19"/>
      <c r="H25" s="10" t="s">
        <v>22</v>
      </c>
      <c r="I25" s="19" t="s">
        <v>23</v>
      </c>
      <c r="J25" s="19"/>
      <c r="K25" s="19"/>
      <c r="L25" s="10" t="s">
        <v>22</v>
      </c>
      <c r="M25" s="4" t="s">
        <v>24</v>
      </c>
      <c r="N25" s="11"/>
      <c r="O25" s="12"/>
    </row>
    <row r="26" customFormat="false" ht="15.75" hidden="false" customHeight="true" outlineLevel="0" collapsed="false">
      <c r="A26" s="19" t="n">
        <v>23</v>
      </c>
      <c r="B26" s="20" t="s">
        <v>94</v>
      </c>
      <c r="C26" s="21" t="s">
        <v>111</v>
      </c>
      <c r="D26" s="22" t="s">
        <v>112</v>
      </c>
      <c r="E26" s="23" t="s">
        <v>113</v>
      </c>
      <c r="F26" s="24" t="s">
        <v>114</v>
      </c>
      <c r="G26" s="19"/>
      <c r="H26" s="10" t="s">
        <v>22</v>
      </c>
      <c r="I26" s="19" t="s">
        <v>23</v>
      </c>
      <c r="J26" s="19"/>
      <c r="K26" s="19"/>
      <c r="L26" s="10" t="s">
        <v>22</v>
      </c>
      <c r="M26" s="4" t="s">
        <v>24</v>
      </c>
      <c r="N26" s="11"/>
      <c r="O26" s="12"/>
    </row>
    <row r="27" customFormat="false" ht="15.75" hidden="false" customHeight="true" outlineLevel="0" collapsed="false">
      <c r="A27" s="19" t="n">
        <v>24</v>
      </c>
      <c r="B27" s="20" t="s">
        <v>94</v>
      </c>
      <c r="C27" s="21" t="s">
        <v>115</v>
      </c>
      <c r="D27" s="22" t="s">
        <v>116</v>
      </c>
      <c r="E27" s="23" t="s">
        <v>117</v>
      </c>
      <c r="F27" s="24" t="s">
        <v>118</v>
      </c>
      <c r="G27" s="19"/>
      <c r="H27" s="10" t="s">
        <v>22</v>
      </c>
      <c r="I27" s="19" t="s">
        <v>23</v>
      </c>
      <c r="J27" s="19"/>
      <c r="K27" s="19"/>
      <c r="L27" s="10" t="s">
        <v>22</v>
      </c>
      <c r="M27" s="4" t="s">
        <v>24</v>
      </c>
      <c r="N27" s="11"/>
      <c r="O27" s="12"/>
    </row>
    <row r="28" customFormat="false" ht="15.75" hidden="false" customHeight="true" outlineLevel="0" collapsed="false">
      <c r="A28" s="19" t="n">
        <v>25</v>
      </c>
      <c r="B28" s="20" t="s">
        <v>94</v>
      </c>
      <c r="C28" s="21" t="s">
        <v>119</v>
      </c>
      <c r="D28" s="22" t="s">
        <v>120</v>
      </c>
      <c r="E28" s="23" t="s">
        <v>121</v>
      </c>
      <c r="F28" s="24" t="s">
        <v>122</v>
      </c>
      <c r="G28" s="19"/>
      <c r="H28" s="10" t="s">
        <v>22</v>
      </c>
      <c r="I28" s="19" t="s">
        <v>23</v>
      </c>
      <c r="J28" s="19"/>
      <c r="K28" s="19"/>
      <c r="L28" s="10" t="s">
        <v>22</v>
      </c>
      <c r="M28" s="4" t="s">
        <v>24</v>
      </c>
      <c r="N28" s="11"/>
      <c r="O28" s="12"/>
    </row>
    <row r="29" customFormat="false" ht="15.75" hidden="false" customHeight="true" outlineLevel="0" collapsed="false">
      <c r="A29" s="19" t="n">
        <v>26</v>
      </c>
      <c r="B29" s="20" t="s">
        <v>94</v>
      </c>
      <c r="C29" s="21" t="s">
        <v>123</v>
      </c>
      <c r="D29" s="22" t="s">
        <v>124</v>
      </c>
      <c r="E29" s="23" t="s">
        <v>125</v>
      </c>
      <c r="F29" s="24" t="s">
        <v>126</v>
      </c>
      <c r="G29" s="19"/>
      <c r="H29" s="10" t="s">
        <v>22</v>
      </c>
      <c r="I29" s="19" t="s">
        <v>23</v>
      </c>
      <c r="J29" s="19"/>
      <c r="K29" s="19"/>
      <c r="L29" s="10" t="s">
        <v>22</v>
      </c>
      <c r="M29" s="4" t="s">
        <v>24</v>
      </c>
      <c r="N29" s="11"/>
      <c r="O29" s="12"/>
    </row>
    <row r="30" customFormat="false" ht="15.75" hidden="false" customHeight="true" outlineLevel="0" collapsed="false">
      <c r="A30" s="19" t="n">
        <v>27</v>
      </c>
      <c r="B30" s="20" t="s">
        <v>94</v>
      </c>
      <c r="C30" s="21" t="s">
        <v>127</v>
      </c>
      <c r="D30" s="22" t="s">
        <v>128</v>
      </c>
      <c r="E30" s="23" t="s">
        <v>129</v>
      </c>
      <c r="F30" s="24" t="s">
        <v>130</v>
      </c>
      <c r="G30" s="19"/>
      <c r="H30" s="10" t="s">
        <v>22</v>
      </c>
      <c r="I30" s="19" t="s">
        <v>23</v>
      </c>
      <c r="J30" s="19"/>
      <c r="K30" s="19"/>
      <c r="L30" s="10" t="s">
        <v>22</v>
      </c>
      <c r="M30" s="4" t="s">
        <v>24</v>
      </c>
      <c r="N30" s="11"/>
      <c r="O30" s="12"/>
    </row>
    <row r="31" customFormat="false" ht="15.75" hidden="false" customHeight="true" outlineLevel="0" collapsed="false">
      <c r="A31" s="19" t="n">
        <v>28</v>
      </c>
      <c r="B31" s="20" t="s">
        <v>94</v>
      </c>
      <c r="C31" s="21" t="s">
        <v>131</v>
      </c>
      <c r="D31" s="22" t="s">
        <v>132</v>
      </c>
      <c r="E31" s="23" t="s">
        <v>133</v>
      </c>
      <c r="F31" s="24" t="s">
        <v>134</v>
      </c>
      <c r="G31" s="19"/>
      <c r="H31" s="10" t="s">
        <v>22</v>
      </c>
      <c r="I31" s="19" t="s">
        <v>23</v>
      </c>
      <c r="J31" s="19"/>
      <c r="K31" s="19"/>
      <c r="L31" s="10" t="s">
        <v>22</v>
      </c>
      <c r="M31" s="4" t="s">
        <v>24</v>
      </c>
      <c r="N31" s="11"/>
      <c r="O31" s="12"/>
    </row>
    <row r="32" customFormat="false" ht="15.75" hidden="false" customHeight="true" outlineLevel="0" collapsed="false">
      <c r="A32" s="25" t="n">
        <v>29</v>
      </c>
      <c r="B32" s="26" t="s">
        <v>135</v>
      </c>
      <c r="C32" s="27" t="s">
        <v>136</v>
      </c>
      <c r="D32" s="28" t="s">
        <v>137</v>
      </c>
      <c r="E32" s="29" t="s">
        <v>138</v>
      </c>
      <c r="F32" s="30" t="s">
        <v>139</v>
      </c>
      <c r="G32" s="25"/>
      <c r="H32" s="10" t="s">
        <v>22</v>
      </c>
      <c r="I32" s="25" t="s">
        <v>23</v>
      </c>
      <c r="J32" s="25"/>
      <c r="K32" s="25"/>
      <c r="L32" s="10" t="s">
        <v>22</v>
      </c>
      <c r="M32" s="4" t="s">
        <v>24</v>
      </c>
      <c r="N32" s="11"/>
      <c r="O32" s="12"/>
    </row>
    <row r="33" customFormat="false" ht="15.75" hidden="false" customHeight="true" outlineLevel="0" collapsed="false">
      <c r="A33" s="25" t="n">
        <v>30</v>
      </c>
      <c r="B33" s="26" t="s">
        <v>135</v>
      </c>
      <c r="C33" s="27" t="s">
        <v>140</v>
      </c>
      <c r="D33" s="28" t="s">
        <v>141</v>
      </c>
      <c r="E33" s="29" t="s">
        <v>142</v>
      </c>
      <c r="F33" s="30" t="s">
        <v>143</v>
      </c>
      <c r="G33" s="25"/>
      <c r="H33" s="10" t="s">
        <v>22</v>
      </c>
      <c r="I33" s="25" t="s">
        <v>23</v>
      </c>
      <c r="J33" s="25"/>
      <c r="K33" s="25"/>
      <c r="L33" s="10" t="s">
        <v>22</v>
      </c>
      <c r="M33" s="4" t="s">
        <v>24</v>
      </c>
      <c r="N33" s="11"/>
      <c r="O33" s="12"/>
    </row>
    <row r="34" customFormat="false" ht="15.75" hidden="false" customHeight="true" outlineLevel="0" collapsed="false">
      <c r="A34" s="25" t="n">
        <v>31</v>
      </c>
      <c r="B34" s="26" t="s">
        <v>135</v>
      </c>
      <c r="C34" s="27" t="s">
        <v>144</v>
      </c>
      <c r="D34" s="28" t="s">
        <v>145</v>
      </c>
      <c r="E34" s="29" t="s">
        <v>146</v>
      </c>
      <c r="F34" s="30" t="s">
        <v>147</v>
      </c>
      <c r="G34" s="25"/>
      <c r="H34" s="10" t="s">
        <v>22</v>
      </c>
      <c r="I34" s="25" t="s">
        <v>23</v>
      </c>
      <c r="J34" s="25"/>
      <c r="K34" s="25"/>
      <c r="L34" s="10" t="s">
        <v>22</v>
      </c>
      <c r="M34" s="4" t="s">
        <v>24</v>
      </c>
      <c r="N34" s="11"/>
      <c r="O34" s="12"/>
    </row>
    <row r="35" customFormat="false" ht="15.75" hidden="false" customHeight="true" outlineLevel="0" collapsed="false">
      <c r="A35" s="25" t="n">
        <v>32</v>
      </c>
      <c r="B35" s="26" t="s">
        <v>135</v>
      </c>
      <c r="C35" s="27" t="s">
        <v>148</v>
      </c>
      <c r="D35" s="28" t="s">
        <v>149</v>
      </c>
      <c r="E35" s="31" t="s">
        <v>150</v>
      </c>
      <c r="F35" s="30" t="s">
        <v>151</v>
      </c>
      <c r="G35" s="25"/>
      <c r="H35" s="10" t="s">
        <v>22</v>
      </c>
      <c r="I35" s="25" t="s">
        <v>23</v>
      </c>
      <c r="J35" s="25"/>
      <c r="K35" s="25"/>
      <c r="L35" s="10" t="s">
        <v>22</v>
      </c>
      <c r="M35" s="4" t="s">
        <v>24</v>
      </c>
      <c r="N35" s="11"/>
      <c r="O35" s="12"/>
    </row>
    <row r="36" customFormat="false" ht="15.75" hidden="false" customHeight="true" outlineLevel="0" collapsed="false">
      <c r="A36" s="25" t="n">
        <v>33</v>
      </c>
      <c r="B36" s="26" t="s">
        <v>135</v>
      </c>
      <c r="C36" s="27" t="s">
        <v>115</v>
      </c>
      <c r="D36" s="28" t="s">
        <v>116</v>
      </c>
      <c r="E36" s="29" t="s">
        <v>117</v>
      </c>
      <c r="F36" s="30" t="s">
        <v>118</v>
      </c>
      <c r="G36" s="25"/>
      <c r="H36" s="10" t="s">
        <v>22</v>
      </c>
      <c r="I36" s="25" t="s">
        <v>23</v>
      </c>
      <c r="J36" s="25"/>
      <c r="K36" s="25"/>
      <c r="L36" s="10" t="s">
        <v>22</v>
      </c>
      <c r="M36" s="4" t="s">
        <v>24</v>
      </c>
      <c r="N36" s="11"/>
      <c r="O36" s="12"/>
    </row>
    <row r="37" customFormat="false" ht="15.75" hidden="false" customHeight="true" outlineLevel="0" collapsed="false">
      <c r="A37" s="25" t="n">
        <v>34</v>
      </c>
      <c r="B37" s="26" t="s">
        <v>135</v>
      </c>
      <c r="C37" s="27" t="s">
        <v>152</v>
      </c>
      <c r="D37" s="28" t="s">
        <v>153</v>
      </c>
      <c r="E37" s="29" t="s">
        <v>154</v>
      </c>
      <c r="F37" s="30" t="s">
        <v>155</v>
      </c>
      <c r="G37" s="25"/>
      <c r="H37" s="10" t="s">
        <v>22</v>
      </c>
      <c r="I37" s="25" t="s">
        <v>23</v>
      </c>
      <c r="J37" s="25"/>
      <c r="K37" s="25"/>
      <c r="L37" s="10" t="s">
        <v>22</v>
      </c>
      <c r="M37" s="4" t="s">
        <v>24</v>
      </c>
      <c r="N37" s="11"/>
      <c r="O37" s="12"/>
    </row>
    <row r="38" customFormat="false" ht="15.75" hidden="false" customHeight="true" outlineLevel="0" collapsed="false">
      <c r="A38" s="32" t="n">
        <v>35</v>
      </c>
      <c r="B38" s="33" t="s">
        <v>156</v>
      </c>
      <c r="C38" s="34" t="s">
        <v>157</v>
      </c>
      <c r="D38" s="35" t="s">
        <v>158</v>
      </c>
      <c r="E38" s="36" t="s">
        <v>159</v>
      </c>
      <c r="F38" s="37" t="s">
        <v>160</v>
      </c>
      <c r="G38" s="32"/>
      <c r="H38" s="10" t="s">
        <v>22</v>
      </c>
      <c r="I38" s="32" t="s">
        <v>23</v>
      </c>
      <c r="J38" s="32"/>
      <c r="K38" s="32"/>
      <c r="L38" s="10" t="s">
        <v>22</v>
      </c>
      <c r="M38" s="4" t="s">
        <v>24</v>
      </c>
      <c r="N38" s="11"/>
      <c r="O38" s="12"/>
    </row>
    <row r="39" customFormat="false" ht="15.75" hidden="false" customHeight="true" outlineLevel="0" collapsed="false">
      <c r="A39" s="32" t="n">
        <v>36</v>
      </c>
      <c r="B39" s="33" t="s">
        <v>156</v>
      </c>
      <c r="C39" s="34" t="s">
        <v>161</v>
      </c>
      <c r="D39" s="35" t="s">
        <v>162</v>
      </c>
      <c r="E39" s="36" t="s">
        <v>163</v>
      </c>
      <c r="F39" s="37" t="s">
        <v>164</v>
      </c>
      <c r="G39" s="32"/>
      <c r="H39" s="10" t="s">
        <v>22</v>
      </c>
      <c r="I39" s="32" t="s">
        <v>23</v>
      </c>
      <c r="J39" s="32"/>
      <c r="K39" s="32"/>
      <c r="L39" s="10" t="s">
        <v>22</v>
      </c>
      <c r="M39" s="4" t="s">
        <v>24</v>
      </c>
      <c r="N39" s="11"/>
      <c r="O39" s="12"/>
    </row>
    <row r="40" customFormat="false" ht="15.75" hidden="false" customHeight="true" outlineLevel="0" collapsed="false">
      <c r="A40" s="32" t="n">
        <v>37</v>
      </c>
      <c r="B40" s="33" t="s">
        <v>156</v>
      </c>
      <c r="C40" s="34" t="s">
        <v>165</v>
      </c>
      <c r="D40" s="35" t="s">
        <v>166</v>
      </c>
      <c r="E40" s="36" t="s">
        <v>167</v>
      </c>
      <c r="F40" s="37" t="s">
        <v>168</v>
      </c>
      <c r="G40" s="32"/>
      <c r="H40" s="10" t="s">
        <v>22</v>
      </c>
      <c r="I40" s="32" t="s">
        <v>23</v>
      </c>
      <c r="J40" s="32"/>
      <c r="K40" s="32"/>
      <c r="L40" s="10" t="s">
        <v>22</v>
      </c>
      <c r="M40" s="4" t="s">
        <v>24</v>
      </c>
      <c r="N40" s="11"/>
      <c r="O40" s="12"/>
    </row>
    <row r="41" customFormat="false" ht="15.75" hidden="false" customHeight="true" outlineLevel="0" collapsed="false">
      <c r="A41" s="32" t="n">
        <v>38</v>
      </c>
      <c r="B41" s="33" t="s">
        <v>156</v>
      </c>
      <c r="C41" s="34" t="s">
        <v>169</v>
      </c>
      <c r="D41" s="35" t="s">
        <v>170</v>
      </c>
      <c r="E41" s="38" t="s">
        <v>150</v>
      </c>
      <c r="F41" s="37" t="s">
        <v>171</v>
      </c>
      <c r="G41" s="32"/>
      <c r="H41" s="10" t="s">
        <v>22</v>
      </c>
      <c r="I41" s="32" t="s">
        <v>23</v>
      </c>
      <c r="J41" s="32"/>
      <c r="K41" s="32"/>
      <c r="L41" s="10" t="s">
        <v>22</v>
      </c>
      <c r="M41" s="4" t="s">
        <v>24</v>
      </c>
      <c r="N41" s="11"/>
      <c r="O41" s="12"/>
    </row>
    <row r="42" customFormat="false" ht="15.75" hidden="false" customHeight="true" outlineLevel="0" collapsed="false">
      <c r="A42" s="32" t="n">
        <v>39</v>
      </c>
      <c r="B42" s="33" t="s">
        <v>156</v>
      </c>
      <c r="C42" s="34" t="s">
        <v>115</v>
      </c>
      <c r="D42" s="35" t="s">
        <v>116</v>
      </c>
      <c r="E42" s="36" t="s">
        <v>117</v>
      </c>
      <c r="F42" s="37" t="s">
        <v>118</v>
      </c>
      <c r="G42" s="32"/>
      <c r="H42" s="10" t="s">
        <v>22</v>
      </c>
      <c r="I42" s="32" t="s">
        <v>23</v>
      </c>
      <c r="J42" s="32"/>
      <c r="K42" s="32"/>
      <c r="L42" s="10" t="s">
        <v>22</v>
      </c>
      <c r="M42" s="4" t="s">
        <v>24</v>
      </c>
      <c r="N42" s="11"/>
      <c r="O42" s="12"/>
    </row>
    <row r="43" customFormat="false" ht="15.75" hidden="false" customHeight="true" outlineLevel="0" collapsed="false">
      <c r="A43" s="32" t="n">
        <v>40</v>
      </c>
      <c r="B43" s="33" t="s">
        <v>156</v>
      </c>
      <c r="C43" s="34" t="s">
        <v>172</v>
      </c>
      <c r="D43" s="35" t="s">
        <v>173</v>
      </c>
      <c r="E43" s="36" t="s">
        <v>174</v>
      </c>
      <c r="F43" s="37" t="s">
        <v>175</v>
      </c>
      <c r="G43" s="32"/>
      <c r="H43" s="10" t="s">
        <v>22</v>
      </c>
      <c r="I43" s="32" t="s">
        <v>23</v>
      </c>
      <c r="J43" s="32"/>
      <c r="K43" s="32"/>
      <c r="L43" s="10" t="s">
        <v>22</v>
      </c>
      <c r="M43" s="4" t="s">
        <v>24</v>
      </c>
      <c r="N43" s="11"/>
      <c r="O43" s="12"/>
    </row>
    <row r="44" customFormat="false" ht="15.75" hidden="false" customHeight="true" outlineLevel="0" collapsed="false">
      <c r="A44" s="39" t="n">
        <v>41</v>
      </c>
      <c r="B44" s="40" t="s">
        <v>176</v>
      </c>
      <c r="C44" s="41" t="s">
        <v>177</v>
      </c>
      <c r="D44" s="42" t="s">
        <v>178</v>
      </c>
      <c r="E44" s="43" t="s">
        <v>179</v>
      </c>
      <c r="F44" s="44" t="s">
        <v>180</v>
      </c>
      <c r="G44" s="39"/>
      <c r="H44" s="10" t="s">
        <v>22</v>
      </c>
      <c r="I44" s="39" t="s">
        <v>23</v>
      </c>
      <c r="J44" s="39"/>
      <c r="K44" s="39"/>
      <c r="L44" s="10" t="s">
        <v>22</v>
      </c>
      <c r="M44" s="4" t="s">
        <v>24</v>
      </c>
      <c r="N44" s="11"/>
      <c r="O44" s="12"/>
    </row>
    <row r="45" customFormat="false" ht="15.75" hidden="false" customHeight="true" outlineLevel="0" collapsed="false">
      <c r="A45" s="39" t="n">
        <v>42</v>
      </c>
      <c r="B45" s="40" t="s">
        <v>176</v>
      </c>
      <c r="C45" s="41" t="s">
        <v>181</v>
      </c>
      <c r="D45" s="42" t="s">
        <v>182</v>
      </c>
      <c r="E45" s="43" t="s">
        <v>183</v>
      </c>
      <c r="F45" s="44" t="s">
        <v>184</v>
      </c>
      <c r="G45" s="39"/>
      <c r="H45" s="10" t="s">
        <v>22</v>
      </c>
      <c r="I45" s="39" t="s">
        <v>23</v>
      </c>
      <c r="J45" s="39"/>
      <c r="K45" s="39"/>
      <c r="L45" s="10" t="s">
        <v>22</v>
      </c>
      <c r="M45" s="4" t="s">
        <v>24</v>
      </c>
      <c r="N45" s="11"/>
      <c r="O45" s="12"/>
    </row>
    <row r="46" customFormat="false" ht="15.75" hidden="false" customHeight="true" outlineLevel="0" collapsed="false">
      <c r="A46" s="39" t="n">
        <v>43</v>
      </c>
      <c r="B46" s="40" t="s">
        <v>176</v>
      </c>
      <c r="C46" s="41" t="s">
        <v>185</v>
      </c>
      <c r="D46" s="42" t="s">
        <v>186</v>
      </c>
      <c r="E46" s="43" t="s">
        <v>187</v>
      </c>
      <c r="F46" s="44" t="s">
        <v>188</v>
      </c>
      <c r="G46" s="39"/>
      <c r="H46" s="10" t="s">
        <v>22</v>
      </c>
      <c r="I46" s="39" t="s">
        <v>23</v>
      </c>
      <c r="J46" s="39"/>
      <c r="K46" s="39"/>
      <c r="L46" s="10" t="s">
        <v>22</v>
      </c>
      <c r="M46" s="4" t="s">
        <v>24</v>
      </c>
      <c r="N46" s="11"/>
      <c r="O46" s="12"/>
    </row>
    <row r="47" customFormat="false" ht="15.75" hidden="false" customHeight="true" outlineLevel="0" collapsed="false">
      <c r="A47" s="39" t="n">
        <v>44</v>
      </c>
      <c r="B47" s="40" t="s">
        <v>176</v>
      </c>
      <c r="C47" s="41" t="s">
        <v>189</v>
      </c>
      <c r="D47" s="42" t="s">
        <v>190</v>
      </c>
      <c r="E47" s="43" t="s">
        <v>191</v>
      </c>
      <c r="F47" s="44" t="s">
        <v>192</v>
      </c>
      <c r="G47" s="39"/>
      <c r="H47" s="10" t="s">
        <v>22</v>
      </c>
      <c r="I47" s="39" t="s">
        <v>23</v>
      </c>
      <c r="J47" s="39"/>
      <c r="K47" s="39"/>
      <c r="L47" s="10" t="s">
        <v>22</v>
      </c>
      <c r="M47" s="4" t="s">
        <v>24</v>
      </c>
      <c r="N47" s="11"/>
      <c r="O47" s="12"/>
    </row>
    <row r="48" customFormat="false" ht="15.75" hidden="false" customHeight="true" outlineLevel="0" collapsed="false">
      <c r="A48" s="39" t="n">
        <v>45</v>
      </c>
      <c r="B48" s="40" t="s">
        <v>176</v>
      </c>
      <c r="C48" s="41" t="s">
        <v>193</v>
      </c>
      <c r="D48" s="42" t="s">
        <v>194</v>
      </c>
      <c r="E48" s="43" t="s">
        <v>195</v>
      </c>
      <c r="F48" s="44" t="s">
        <v>196</v>
      </c>
      <c r="G48" s="39"/>
      <c r="H48" s="10" t="s">
        <v>22</v>
      </c>
      <c r="I48" s="39" t="s">
        <v>23</v>
      </c>
      <c r="J48" s="39"/>
      <c r="K48" s="39"/>
      <c r="L48" s="10" t="s">
        <v>22</v>
      </c>
      <c r="M48" s="4" t="s">
        <v>24</v>
      </c>
      <c r="N48" s="11"/>
      <c r="O48" s="12"/>
    </row>
    <row r="49" customFormat="false" ht="15.75" hidden="false" customHeight="true" outlineLevel="0" collapsed="false">
      <c r="A49" s="39" t="n">
        <v>46</v>
      </c>
      <c r="B49" s="40" t="s">
        <v>176</v>
      </c>
      <c r="C49" s="41" t="s">
        <v>197</v>
      </c>
      <c r="D49" s="42" t="s">
        <v>198</v>
      </c>
      <c r="E49" s="43" t="s">
        <v>199</v>
      </c>
      <c r="F49" s="44" t="s">
        <v>200</v>
      </c>
      <c r="G49" s="39"/>
      <c r="H49" s="10" t="s">
        <v>22</v>
      </c>
      <c r="I49" s="39" t="s">
        <v>23</v>
      </c>
      <c r="J49" s="39"/>
      <c r="K49" s="39"/>
      <c r="L49" s="10" t="s">
        <v>22</v>
      </c>
      <c r="M49" s="4" t="s">
        <v>24</v>
      </c>
      <c r="N49" s="11"/>
      <c r="O49" s="12"/>
    </row>
    <row r="50" customFormat="false" ht="15.75" hidden="false" customHeight="true" outlineLevel="0" collapsed="false">
      <c r="A50" s="39" t="n">
        <v>47</v>
      </c>
      <c r="B50" s="40" t="s">
        <v>176</v>
      </c>
      <c r="C50" s="41" t="s">
        <v>201</v>
      </c>
      <c r="D50" s="42" t="s">
        <v>202</v>
      </c>
      <c r="E50" s="43" t="s">
        <v>203</v>
      </c>
      <c r="F50" s="44" t="s">
        <v>204</v>
      </c>
      <c r="G50" s="39"/>
      <c r="H50" s="10" t="s">
        <v>22</v>
      </c>
      <c r="I50" s="39" t="s">
        <v>23</v>
      </c>
      <c r="J50" s="39"/>
      <c r="K50" s="39"/>
      <c r="L50" s="10" t="s">
        <v>22</v>
      </c>
      <c r="M50" s="4" t="s">
        <v>24</v>
      </c>
      <c r="N50" s="11"/>
      <c r="O50" s="12"/>
    </row>
    <row r="51" customFormat="false" ht="15.75" hidden="false" customHeight="true" outlineLevel="0" collapsed="false">
      <c r="A51" s="45" t="n">
        <v>48</v>
      </c>
      <c r="B51" s="46" t="s">
        <v>205</v>
      </c>
      <c r="C51" s="47" t="s">
        <v>206</v>
      </c>
      <c r="D51" s="48" t="s">
        <v>207</v>
      </c>
      <c r="E51" s="49" t="s">
        <v>208</v>
      </c>
      <c r="F51" s="50" t="s">
        <v>209</v>
      </c>
      <c r="G51" s="45"/>
      <c r="H51" s="10" t="s">
        <v>22</v>
      </c>
      <c r="I51" s="45" t="s">
        <v>23</v>
      </c>
      <c r="J51" s="45"/>
      <c r="K51" s="45"/>
      <c r="L51" s="10" t="s">
        <v>22</v>
      </c>
      <c r="M51" s="4" t="s">
        <v>24</v>
      </c>
      <c r="N51" s="11"/>
      <c r="O51" s="12"/>
    </row>
    <row r="52" customFormat="false" ht="15.75" hidden="false" customHeight="true" outlineLevel="0" collapsed="false">
      <c r="A52" s="45" t="n">
        <v>49</v>
      </c>
      <c r="B52" s="46" t="s">
        <v>205</v>
      </c>
      <c r="C52" s="47" t="s">
        <v>210</v>
      </c>
      <c r="D52" s="48" t="s">
        <v>211</v>
      </c>
      <c r="E52" s="49" t="s">
        <v>212</v>
      </c>
      <c r="F52" s="50" t="s">
        <v>213</v>
      </c>
      <c r="G52" s="45"/>
      <c r="H52" s="10" t="s">
        <v>22</v>
      </c>
      <c r="I52" s="45" t="s">
        <v>23</v>
      </c>
      <c r="J52" s="45"/>
      <c r="K52" s="45"/>
      <c r="L52" s="10" t="s">
        <v>22</v>
      </c>
      <c r="M52" s="4" t="s">
        <v>24</v>
      </c>
      <c r="N52" s="11"/>
      <c r="O52" s="12"/>
    </row>
    <row r="53" customFormat="false" ht="15.75" hidden="false" customHeight="true" outlineLevel="0" collapsed="false">
      <c r="A53" s="45" t="n">
        <v>50</v>
      </c>
      <c r="B53" s="46" t="s">
        <v>205</v>
      </c>
      <c r="C53" s="47" t="s">
        <v>214</v>
      </c>
      <c r="D53" s="48" t="s">
        <v>215</v>
      </c>
      <c r="E53" s="49" t="s">
        <v>216</v>
      </c>
      <c r="F53" s="50" t="s">
        <v>217</v>
      </c>
      <c r="G53" s="45"/>
      <c r="H53" s="10" t="s">
        <v>22</v>
      </c>
      <c r="I53" s="45" t="s">
        <v>23</v>
      </c>
      <c r="J53" s="45"/>
      <c r="K53" s="45"/>
      <c r="L53" s="10" t="s">
        <v>22</v>
      </c>
      <c r="M53" s="4" t="s">
        <v>24</v>
      </c>
      <c r="N53" s="11"/>
      <c r="O53" s="12"/>
    </row>
    <row r="54" customFormat="false" ht="15.75" hidden="false" customHeight="true" outlineLevel="0" collapsed="false">
      <c r="A54" s="45" t="n">
        <v>51</v>
      </c>
      <c r="B54" s="46" t="s">
        <v>205</v>
      </c>
      <c r="C54" s="47" t="s">
        <v>218</v>
      </c>
      <c r="D54" s="48" t="s">
        <v>219</v>
      </c>
      <c r="E54" s="49" t="s">
        <v>220</v>
      </c>
      <c r="F54" s="50" t="s">
        <v>221</v>
      </c>
      <c r="G54" s="45"/>
      <c r="H54" s="10" t="s">
        <v>22</v>
      </c>
      <c r="I54" s="45" t="s">
        <v>23</v>
      </c>
      <c r="J54" s="45"/>
      <c r="K54" s="45"/>
      <c r="L54" s="10" t="s">
        <v>22</v>
      </c>
      <c r="M54" s="4" t="s">
        <v>24</v>
      </c>
      <c r="N54" s="11"/>
      <c r="O54" s="12"/>
    </row>
    <row r="55" customFormat="false" ht="15.75" hidden="false" customHeight="true" outlineLevel="0" collapsed="false">
      <c r="A55" s="45" t="n">
        <v>52</v>
      </c>
      <c r="B55" s="46" t="s">
        <v>205</v>
      </c>
      <c r="C55" s="47" t="s">
        <v>222</v>
      </c>
      <c r="D55" s="48" t="s">
        <v>223</v>
      </c>
      <c r="E55" s="49" t="s">
        <v>224</v>
      </c>
      <c r="F55" s="50" t="s">
        <v>225</v>
      </c>
      <c r="G55" s="45"/>
      <c r="H55" s="10" t="s">
        <v>22</v>
      </c>
      <c r="I55" s="45" t="s">
        <v>23</v>
      </c>
      <c r="J55" s="45"/>
      <c r="K55" s="45"/>
      <c r="L55" s="10" t="s">
        <v>22</v>
      </c>
      <c r="M55" s="4" t="s">
        <v>24</v>
      </c>
      <c r="N55" s="11"/>
      <c r="O55" s="12"/>
    </row>
    <row r="56" customFormat="false" ht="15.75" hidden="false" customHeight="true" outlineLevel="0" collapsed="false">
      <c r="A56" s="45" t="n">
        <v>53</v>
      </c>
      <c r="B56" s="46" t="s">
        <v>205</v>
      </c>
      <c r="C56" s="47" t="s">
        <v>226</v>
      </c>
      <c r="D56" s="48" t="s">
        <v>227</v>
      </c>
      <c r="E56" s="49" t="s">
        <v>228</v>
      </c>
      <c r="F56" s="50" t="s">
        <v>229</v>
      </c>
      <c r="G56" s="45"/>
      <c r="H56" s="10" t="s">
        <v>22</v>
      </c>
      <c r="I56" s="45" t="s">
        <v>23</v>
      </c>
      <c r="J56" s="45"/>
      <c r="K56" s="45"/>
      <c r="L56" s="10" t="s">
        <v>22</v>
      </c>
      <c r="M56" s="4" t="s">
        <v>24</v>
      </c>
      <c r="N56" s="11"/>
      <c r="O56" s="12"/>
    </row>
    <row r="57" customFormat="false" ht="15.75" hidden="false" customHeight="true" outlineLevel="0" collapsed="false">
      <c r="A57" s="45" t="n">
        <v>54</v>
      </c>
      <c r="B57" s="46" t="s">
        <v>205</v>
      </c>
      <c r="C57" s="47" t="s">
        <v>230</v>
      </c>
      <c r="D57" s="48" t="s">
        <v>231</v>
      </c>
      <c r="E57" s="49" t="s">
        <v>232</v>
      </c>
      <c r="F57" s="50" t="s">
        <v>233</v>
      </c>
      <c r="G57" s="45"/>
      <c r="H57" s="10" t="s">
        <v>22</v>
      </c>
      <c r="I57" s="45" t="s">
        <v>23</v>
      </c>
      <c r="J57" s="45"/>
      <c r="K57" s="45"/>
      <c r="L57" s="10" t="s">
        <v>22</v>
      </c>
      <c r="M57" s="4" t="s">
        <v>24</v>
      </c>
      <c r="N57" s="11"/>
      <c r="O57" s="12"/>
    </row>
    <row r="58" customFormat="false" ht="15.75" hidden="false" customHeight="true" outlineLevel="0" collapsed="false">
      <c r="A58" s="45" t="n">
        <v>55</v>
      </c>
      <c r="B58" s="46" t="s">
        <v>205</v>
      </c>
      <c r="C58" s="47" t="s">
        <v>234</v>
      </c>
      <c r="D58" s="48" t="s">
        <v>235</v>
      </c>
      <c r="E58" s="49" t="s">
        <v>236</v>
      </c>
      <c r="F58" s="50" t="s">
        <v>237</v>
      </c>
      <c r="G58" s="45"/>
      <c r="H58" s="10" t="s">
        <v>22</v>
      </c>
      <c r="I58" s="45" t="s">
        <v>23</v>
      </c>
      <c r="J58" s="45"/>
      <c r="K58" s="45"/>
      <c r="L58" s="10" t="s">
        <v>22</v>
      </c>
      <c r="M58" s="4" t="s">
        <v>24</v>
      </c>
      <c r="N58" s="11"/>
      <c r="O58" s="12"/>
    </row>
    <row r="59" customFormat="false" ht="15.75" hidden="false" customHeight="true" outlineLevel="0" collapsed="false">
      <c r="A59" s="51" t="n">
        <v>56</v>
      </c>
      <c r="B59" s="52" t="s">
        <v>238</v>
      </c>
      <c r="C59" s="53" t="s">
        <v>239</v>
      </c>
      <c r="D59" s="54" t="s">
        <v>240</v>
      </c>
      <c r="E59" s="55" t="s">
        <v>241</v>
      </c>
      <c r="F59" s="56" t="s">
        <v>242</v>
      </c>
      <c r="G59" s="51"/>
      <c r="H59" s="10" t="s">
        <v>22</v>
      </c>
      <c r="I59" s="51" t="s">
        <v>23</v>
      </c>
      <c r="J59" s="51"/>
      <c r="K59" s="51"/>
      <c r="L59" s="10" t="s">
        <v>22</v>
      </c>
      <c r="M59" s="4" t="s">
        <v>24</v>
      </c>
      <c r="N59" s="11"/>
      <c r="O59" s="12"/>
    </row>
    <row r="60" customFormat="false" ht="15.75" hidden="false" customHeight="true" outlineLevel="0" collapsed="false">
      <c r="A60" s="51" t="n">
        <v>57</v>
      </c>
      <c r="B60" s="52" t="s">
        <v>238</v>
      </c>
      <c r="C60" s="53" t="s">
        <v>243</v>
      </c>
      <c r="D60" s="54" t="s">
        <v>244</v>
      </c>
      <c r="E60" s="55" t="s">
        <v>245</v>
      </c>
      <c r="F60" s="56" t="s">
        <v>246</v>
      </c>
      <c r="G60" s="51"/>
      <c r="H60" s="10" t="s">
        <v>22</v>
      </c>
      <c r="I60" s="51" t="s">
        <v>23</v>
      </c>
      <c r="J60" s="51"/>
      <c r="K60" s="51"/>
      <c r="L60" s="10" t="s">
        <v>22</v>
      </c>
      <c r="M60" s="4" t="s">
        <v>24</v>
      </c>
      <c r="N60" s="11"/>
      <c r="O60" s="12"/>
    </row>
    <row r="61" customFormat="false" ht="15.75" hidden="false" customHeight="true" outlineLevel="0" collapsed="false">
      <c r="A61" s="51" t="n">
        <v>58</v>
      </c>
      <c r="B61" s="52" t="s">
        <v>238</v>
      </c>
      <c r="C61" s="53" t="s">
        <v>247</v>
      </c>
      <c r="D61" s="54" t="s">
        <v>248</v>
      </c>
      <c r="E61" s="55" t="s">
        <v>249</v>
      </c>
      <c r="F61" s="56" t="s">
        <v>250</v>
      </c>
      <c r="G61" s="51"/>
      <c r="H61" s="10" t="s">
        <v>22</v>
      </c>
      <c r="I61" s="51" t="s">
        <v>23</v>
      </c>
      <c r="J61" s="51"/>
      <c r="K61" s="51"/>
      <c r="L61" s="10" t="s">
        <v>22</v>
      </c>
      <c r="M61" s="4" t="s">
        <v>24</v>
      </c>
      <c r="N61" s="11"/>
      <c r="O61" s="12"/>
    </row>
    <row r="62" customFormat="false" ht="15.75" hidden="false" customHeight="true" outlineLevel="0" collapsed="false">
      <c r="A62" s="51" t="n">
        <v>59</v>
      </c>
      <c r="B62" s="52" t="s">
        <v>238</v>
      </c>
      <c r="C62" s="53" t="s">
        <v>251</v>
      </c>
      <c r="D62" s="54" t="s">
        <v>252</v>
      </c>
      <c r="E62" s="55" t="s">
        <v>253</v>
      </c>
      <c r="F62" s="56" t="s">
        <v>254</v>
      </c>
      <c r="G62" s="51"/>
      <c r="H62" s="10" t="s">
        <v>22</v>
      </c>
      <c r="I62" s="51" t="s">
        <v>23</v>
      </c>
      <c r="J62" s="51"/>
      <c r="K62" s="51"/>
      <c r="L62" s="10" t="s">
        <v>22</v>
      </c>
      <c r="M62" s="4" t="s">
        <v>24</v>
      </c>
      <c r="N62" s="11"/>
      <c r="O62" s="12"/>
    </row>
    <row r="63" customFormat="false" ht="15.75" hidden="false" customHeight="true" outlineLevel="0" collapsed="false">
      <c r="A63" s="51" t="n">
        <v>60</v>
      </c>
      <c r="B63" s="52" t="s">
        <v>238</v>
      </c>
      <c r="C63" s="53" t="s">
        <v>255</v>
      </c>
      <c r="D63" s="54" t="s">
        <v>256</v>
      </c>
      <c r="E63" s="55" t="s">
        <v>257</v>
      </c>
      <c r="F63" s="56" t="s">
        <v>258</v>
      </c>
      <c r="G63" s="51"/>
      <c r="H63" s="10" t="s">
        <v>22</v>
      </c>
      <c r="I63" s="51" t="s">
        <v>23</v>
      </c>
      <c r="J63" s="51"/>
      <c r="K63" s="51"/>
      <c r="L63" s="10" t="s">
        <v>22</v>
      </c>
      <c r="M63" s="4" t="s">
        <v>24</v>
      </c>
      <c r="N63" s="11"/>
      <c r="O63" s="12"/>
    </row>
    <row r="64" customFormat="false" ht="15.75" hidden="false" customHeight="true" outlineLevel="0" collapsed="false">
      <c r="A64" s="51" t="n">
        <v>61</v>
      </c>
      <c r="B64" s="52" t="s">
        <v>238</v>
      </c>
      <c r="C64" s="53" t="s">
        <v>259</v>
      </c>
      <c r="D64" s="54" t="s">
        <v>260</v>
      </c>
      <c r="E64" s="55" t="s">
        <v>261</v>
      </c>
      <c r="F64" s="56" t="s">
        <v>262</v>
      </c>
      <c r="G64" s="51"/>
      <c r="H64" s="10" t="s">
        <v>22</v>
      </c>
      <c r="I64" s="51" t="s">
        <v>23</v>
      </c>
      <c r="J64" s="51"/>
      <c r="K64" s="51"/>
      <c r="L64" s="10" t="s">
        <v>22</v>
      </c>
      <c r="M64" s="4" t="s">
        <v>24</v>
      </c>
      <c r="N64" s="11"/>
      <c r="O64" s="12"/>
    </row>
    <row r="65" customFormat="false" ht="15.75" hidden="false" customHeight="true" outlineLevel="0" collapsed="false">
      <c r="A65" s="51" t="n">
        <v>62</v>
      </c>
      <c r="B65" s="52" t="s">
        <v>238</v>
      </c>
      <c r="C65" s="53" t="s">
        <v>263</v>
      </c>
      <c r="D65" s="54" t="s">
        <v>264</v>
      </c>
      <c r="E65" s="55" t="s">
        <v>265</v>
      </c>
      <c r="F65" s="56" t="s">
        <v>266</v>
      </c>
      <c r="G65" s="51"/>
      <c r="H65" s="10" t="s">
        <v>22</v>
      </c>
      <c r="I65" s="51" t="s">
        <v>23</v>
      </c>
      <c r="J65" s="51"/>
      <c r="K65" s="51"/>
      <c r="L65" s="10" t="s">
        <v>22</v>
      </c>
      <c r="M65" s="4" t="s">
        <v>24</v>
      </c>
      <c r="N65" s="11"/>
      <c r="O65" s="12"/>
    </row>
    <row r="66" customFormat="false" ht="15.75" hidden="false" customHeight="true" outlineLevel="0" collapsed="false">
      <c r="A66" s="51" t="n">
        <v>63</v>
      </c>
      <c r="B66" s="52" t="s">
        <v>238</v>
      </c>
      <c r="C66" s="53" t="s">
        <v>267</v>
      </c>
      <c r="D66" s="54" t="s">
        <v>268</v>
      </c>
      <c r="E66" s="57" t="s">
        <v>150</v>
      </c>
      <c r="F66" s="56" t="s">
        <v>269</v>
      </c>
      <c r="G66" s="51"/>
      <c r="H66" s="10" t="s">
        <v>22</v>
      </c>
      <c r="I66" s="51" t="s">
        <v>23</v>
      </c>
      <c r="J66" s="51"/>
      <c r="K66" s="51"/>
      <c r="L66" s="10" t="s">
        <v>22</v>
      </c>
      <c r="M66" s="4" t="s">
        <v>24</v>
      </c>
      <c r="N66" s="11"/>
      <c r="O66" s="12"/>
    </row>
    <row r="67" customFormat="false" ht="15.75" hidden="false" customHeight="true" outlineLevel="0" collapsed="false">
      <c r="A67" s="58" t="n">
        <v>64</v>
      </c>
      <c r="B67" s="59" t="s">
        <v>270</v>
      </c>
      <c r="C67" s="60" t="s">
        <v>271</v>
      </c>
      <c r="D67" s="61" t="s">
        <v>272</v>
      </c>
      <c r="E67" s="62" t="s">
        <v>273</v>
      </c>
      <c r="F67" s="63" t="s">
        <v>274</v>
      </c>
      <c r="G67" s="58"/>
      <c r="H67" s="10" t="s">
        <v>22</v>
      </c>
      <c r="I67" s="58" t="s">
        <v>23</v>
      </c>
      <c r="J67" s="58"/>
      <c r="K67" s="58"/>
      <c r="L67" s="10" t="s">
        <v>22</v>
      </c>
      <c r="M67" s="4" t="s">
        <v>24</v>
      </c>
      <c r="N67" s="11"/>
      <c r="O67" s="12"/>
    </row>
    <row r="68" customFormat="false" ht="15.75" hidden="false" customHeight="true" outlineLevel="0" collapsed="false">
      <c r="A68" s="58" t="n">
        <v>65</v>
      </c>
      <c r="B68" s="59" t="s">
        <v>270</v>
      </c>
      <c r="C68" s="60" t="s">
        <v>275</v>
      </c>
      <c r="D68" s="61" t="s">
        <v>276</v>
      </c>
      <c r="E68" s="62" t="s">
        <v>277</v>
      </c>
      <c r="F68" s="63" t="s">
        <v>278</v>
      </c>
      <c r="G68" s="58"/>
      <c r="H68" s="10" t="s">
        <v>22</v>
      </c>
      <c r="I68" s="58" t="s">
        <v>23</v>
      </c>
      <c r="J68" s="58"/>
      <c r="K68" s="58"/>
      <c r="L68" s="10" t="s">
        <v>22</v>
      </c>
      <c r="M68" s="4" t="s">
        <v>24</v>
      </c>
      <c r="N68" s="11"/>
      <c r="O68" s="12"/>
    </row>
    <row r="69" customFormat="false" ht="15.75" hidden="false" customHeight="true" outlineLevel="0" collapsed="false">
      <c r="A69" s="58" t="n">
        <v>66</v>
      </c>
      <c r="B69" s="59" t="s">
        <v>270</v>
      </c>
      <c r="C69" s="60" t="s">
        <v>279</v>
      </c>
      <c r="D69" s="61" t="s">
        <v>280</v>
      </c>
      <c r="E69" s="62" t="s">
        <v>281</v>
      </c>
      <c r="F69" s="63" t="s">
        <v>282</v>
      </c>
      <c r="G69" s="58"/>
      <c r="H69" s="10" t="s">
        <v>22</v>
      </c>
      <c r="I69" s="58" t="s">
        <v>23</v>
      </c>
      <c r="J69" s="58"/>
      <c r="K69" s="58"/>
      <c r="L69" s="10" t="s">
        <v>22</v>
      </c>
      <c r="M69" s="4" t="s">
        <v>24</v>
      </c>
      <c r="N69" s="11"/>
      <c r="O69" s="12"/>
    </row>
    <row r="70" customFormat="false" ht="15.75" hidden="false" customHeight="true" outlineLevel="0" collapsed="false">
      <c r="A70" s="58" t="n">
        <v>67</v>
      </c>
      <c r="B70" s="59" t="s">
        <v>270</v>
      </c>
      <c r="C70" s="60" t="s">
        <v>283</v>
      </c>
      <c r="D70" s="61" t="s">
        <v>284</v>
      </c>
      <c r="E70" s="62" t="s">
        <v>285</v>
      </c>
      <c r="F70" s="63" t="s">
        <v>286</v>
      </c>
      <c r="G70" s="58"/>
      <c r="H70" s="10" t="s">
        <v>22</v>
      </c>
      <c r="I70" s="58" t="s">
        <v>23</v>
      </c>
      <c r="J70" s="58"/>
      <c r="K70" s="58"/>
      <c r="L70" s="10" t="s">
        <v>22</v>
      </c>
      <c r="M70" s="4" t="s">
        <v>24</v>
      </c>
      <c r="N70" s="11"/>
      <c r="O70" s="12"/>
    </row>
    <row r="71" customFormat="false" ht="15.75" hidden="false" customHeight="true" outlineLevel="0" collapsed="false">
      <c r="A71" s="58" t="n">
        <v>68</v>
      </c>
      <c r="B71" s="59" t="s">
        <v>270</v>
      </c>
      <c r="C71" s="60" t="s">
        <v>287</v>
      </c>
      <c r="D71" s="61" t="s">
        <v>288</v>
      </c>
      <c r="E71" s="62" t="s">
        <v>289</v>
      </c>
      <c r="F71" s="63" t="s">
        <v>290</v>
      </c>
      <c r="G71" s="58"/>
      <c r="H71" s="10" t="s">
        <v>22</v>
      </c>
      <c r="I71" s="58" t="s">
        <v>23</v>
      </c>
      <c r="J71" s="58"/>
      <c r="K71" s="58"/>
      <c r="L71" s="10" t="s">
        <v>22</v>
      </c>
      <c r="M71" s="4" t="s">
        <v>24</v>
      </c>
      <c r="N71" s="11"/>
      <c r="O71" s="12"/>
    </row>
    <row r="72" customFormat="false" ht="15.75" hidden="false" customHeight="true" outlineLevel="0" collapsed="false">
      <c r="A72" s="58" t="n">
        <v>69</v>
      </c>
      <c r="B72" s="59" t="s">
        <v>270</v>
      </c>
      <c r="C72" s="60" t="s">
        <v>291</v>
      </c>
      <c r="D72" s="61" t="s">
        <v>292</v>
      </c>
      <c r="E72" s="62" t="s">
        <v>293</v>
      </c>
      <c r="F72" s="63" t="s">
        <v>294</v>
      </c>
      <c r="G72" s="58"/>
      <c r="H72" s="10" t="s">
        <v>22</v>
      </c>
      <c r="I72" s="58" t="s">
        <v>23</v>
      </c>
      <c r="J72" s="58"/>
      <c r="K72" s="58"/>
      <c r="L72" s="10" t="s">
        <v>22</v>
      </c>
      <c r="M72" s="4" t="s">
        <v>24</v>
      </c>
      <c r="N72" s="11"/>
      <c r="O72" s="12"/>
    </row>
    <row r="73" customFormat="false" ht="15.75" hidden="false" customHeight="true" outlineLevel="0" collapsed="false">
      <c r="A73" s="58" t="n">
        <v>70</v>
      </c>
      <c r="B73" s="59" t="s">
        <v>270</v>
      </c>
      <c r="C73" s="60" t="s">
        <v>295</v>
      </c>
      <c r="D73" s="61" t="s">
        <v>296</v>
      </c>
      <c r="E73" s="62" t="s">
        <v>297</v>
      </c>
      <c r="F73" s="63" t="s">
        <v>298</v>
      </c>
      <c r="G73" s="58"/>
      <c r="H73" s="10" t="s">
        <v>22</v>
      </c>
      <c r="I73" s="58" t="s">
        <v>23</v>
      </c>
      <c r="J73" s="58"/>
      <c r="K73" s="58"/>
      <c r="L73" s="10" t="s">
        <v>22</v>
      </c>
      <c r="M73" s="4" t="s">
        <v>24</v>
      </c>
      <c r="N73" s="11"/>
      <c r="O73" s="12"/>
    </row>
    <row r="74" customFormat="false" ht="15.75" hidden="false" customHeight="true" outlineLevel="0" collapsed="false">
      <c r="A74" s="64" t="n">
        <v>71</v>
      </c>
      <c r="B74" s="65" t="s">
        <v>299</v>
      </c>
      <c r="C74" s="66" t="s">
        <v>300</v>
      </c>
      <c r="D74" s="67" t="s">
        <v>301</v>
      </c>
      <c r="E74" s="68" t="s">
        <v>302</v>
      </c>
      <c r="F74" s="69" t="s">
        <v>303</v>
      </c>
      <c r="G74" s="64"/>
      <c r="H74" s="10" t="s">
        <v>22</v>
      </c>
      <c r="I74" s="64" t="s">
        <v>23</v>
      </c>
      <c r="J74" s="64"/>
      <c r="K74" s="64"/>
      <c r="L74" s="10" t="s">
        <v>22</v>
      </c>
      <c r="M74" s="4" t="s">
        <v>24</v>
      </c>
      <c r="N74" s="11"/>
      <c r="O74" s="12"/>
    </row>
    <row r="75" customFormat="false" ht="15.75" hidden="false" customHeight="true" outlineLevel="0" collapsed="false">
      <c r="A75" s="64" t="n">
        <v>72</v>
      </c>
      <c r="B75" s="65" t="s">
        <v>299</v>
      </c>
      <c r="C75" s="66" t="s">
        <v>304</v>
      </c>
      <c r="D75" s="67" t="s">
        <v>305</v>
      </c>
      <c r="E75" s="68" t="s">
        <v>306</v>
      </c>
      <c r="F75" s="69" t="s">
        <v>307</v>
      </c>
      <c r="G75" s="64"/>
      <c r="H75" s="10" t="s">
        <v>22</v>
      </c>
      <c r="I75" s="64" t="s">
        <v>23</v>
      </c>
      <c r="J75" s="64"/>
      <c r="K75" s="64"/>
      <c r="L75" s="10" t="s">
        <v>22</v>
      </c>
      <c r="M75" s="4" t="s">
        <v>24</v>
      </c>
      <c r="N75" s="11"/>
      <c r="O75" s="12"/>
    </row>
    <row r="76" customFormat="false" ht="15.75" hidden="false" customHeight="true" outlineLevel="0" collapsed="false">
      <c r="A76" s="64" t="n">
        <v>73</v>
      </c>
      <c r="B76" s="65" t="s">
        <v>299</v>
      </c>
      <c r="C76" s="66" t="s">
        <v>308</v>
      </c>
      <c r="D76" s="67" t="s">
        <v>309</v>
      </c>
      <c r="E76" s="68" t="s">
        <v>310</v>
      </c>
      <c r="F76" s="69" t="s">
        <v>311</v>
      </c>
      <c r="G76" s="64"/>
      <c r="H76" s="10" t="s">
        <v>22</v>
      </c>
      <c r="I76" s="64" t="s">
        <v>23</v>
      </c>
      <c r="J76" s="64"/>
      <c r="K76" s="64"/>
      <c r="L76" s="10" t="s">
        <v>22</v>
      </c>
      <c r="M76" s="4" t="s">
        <v>24</v>
      </c>
      <c r="N76" s="11"/>
      <c r="O76" s="12"/>
    </row>
    <row r="77" customFormat="false" ht="15.75" hidden="false" customHeight="true" outlineLevel="0" collapsed="false">
      <c r="A77" s="64" t="n">
        <v>74</v>
      </c>
      <c r="B77" s="65" t="s">
        <v>299</v>
      </c>
      <c r="C77" s="66" t="s">
        <v>312</v>
      </c>
      <c r="D77" s="67" t="s">
        <v>313</v>
      </c>
      <c r="E77" s="68" t="s">
        <v>314</v>
      </c>
      <c r="F77" s="69" t="s">
        <v>315</v>
      </c>
      <c r="G77" s="64"/>
      <c r="H77" s="10" t="s">
        <v>22</v>
      </c>
      <c r="I77" s="64" t="s">
        <v>23</v>
      </c>
      <c r="J77" s="64"/>
      <c r="K77" s="64"/>
      <c r="L77" s="10" t="s">
        <v>22</v>
      </c>
      <c r="M77" s="4" t="s">
        <v>24</v>
      </c>
      <c r="N77" s="11"/>
      <c r="O77" s="12"/>
    </row>
    <row r="78" customFormat="false" ht="15.75" hidden="false" customHeight="true" outlineLevel="0" collapsed="false">
      <c r="A78" s="64" t="n">
        <v>75</v>
      </c>
      <c r="B78" s="65" t="s">
        <v>299</v>
      </c>
      <c r="C78" s="66" t="s">
        <v>316</v>
      </c>
      <c r="D78" s="67" t="s">
        <v>317</v>
      </c>
      <c r="E78" s="68" t="s">
        <v>318</v>
      </c>
      <c r="F78" s="69" t="s">
        <v>319</v>
      </c>
      <c r="G78" s="64"/>
      <c r="H78" s="10" t="s">
        <v>22</v>
      </c>
      <c r="I78" s="64" t="s">
        <v>23</v>
      </c>
      <c r="J78" s="64"/>
      <c r="K78" s="64"/>
      <c r="L78" s="10" t="s">
        <v>22</v>
      </c>
      <c r="M78" s="4" t="s">
        <v>24</v>
      </c>
      <c r="N78" s="11"/>
      <c r="O78" s="12"/>
    </row>
    <row r="79" customFormat="false" ht="15.75" hidden="false" customHeight="true" outlineLevel="0" collapsed="false">
      <c r="A79" s="64" t="n">
        <v>76</v>
      </c>
      <c r="B79" s="65" t="s">
        <v>299</v>
      </c>
      <c r="C79" s="66" t="s">
        <v>320</v>
      </c>
      <c r="D79" s="67" t="s">
        <v>321</v>
      </c>
      <c r="E79" s="68" t="s">
        <v>322</v>
      </c>
      <c r="F79" s="69" t="s">
        <v>323</v>
      </c>
      <c r="G79" s="64"/>
      <c r="H79" s="10" t="s">
        <v>22</v>
      </c>
      <c r="I79" s="64" t="s">
        <v>23</v>
      </c>
      <c r="J79" s="64"/>
      <c r="K79" s="64"/>
      <c r="L79" s="10" t="s">
        <v>22</v>
      </c>
      <c r="M79" s="4" t="s">
        <v>24</v>
      </c>
      <c r="N79" s="11"/>
      <c r="O79" s="12"/>
    </row>
    <row r="80" customFormat="false" ht="15.75" hidden="false" customHeight="true" outlineLevel="0" collapsed="false">
      <c r="A80" s="64" t="n">
        <v>77</v>
      </c>
      <c r="B80" s="65" t="s">
        <v>299</v>
      </c>
      <c r="C80" s="66" t="s">
        <v>324</v>
      </c>
      <c r="D80" s="67" t="s">
        <v>325</v>
      </c>
      <c r="E80" s="68" t="s">
        <v>326</v>
      </c>
      <c r="F80" s="69" t="s">
        <v>327</v>
      </c>
      <c r="G80" s="64"/>
      <c r="H80" s="10" t="s">
        <v>22</v>
      </c>
      <c r="I80" s="64" t="s">
        <v>23</v>
      </c>
      <c r="J80" s="64"/>
      <c r="K80" s="64"/>
      <c r="L80" s="10" t="s">
        <v>22</v>
      </c>
      <c r="M80" s="4" t="s">
        <v>24</v>
      </c>
      <c r="N80" s="11"/>
      <c r="O80" s="12"/>
    </row>
    <row r="81" customFormat="false" ht="15.75" hidden="false" customHeight="true" outlineLevel="0" collapsed="false">
      <c r="A81" s="70" t="n">
        <v>78</v>
      </c>
      <c r="B81" s="71" t="s">
        <v>328</v>
      </c>
      <c r="C81" s="72" t="s">
        <v>329</v>
      </c>
      <c r="D81" s="73" t="s">
        <v>330</v>
      </c>
      <c r="E81" s="74" t="s">
        <v>331</v>
      </c>
      <c r="F81" s="75" t="s">
        <v>332</v>
      </c>
      <c r="G81" s="70"/>
      <c r="H81" s="10" t="s">
        <v>22</v>
      </c>
      <c r="I81" s="70" t="s">
        <v>23</v>
      </c>
      <c r="J81" s="70"/>
      <c r="K81" s="70"/>
      <c r="L81" s="10" t="s">
        <v>22</v>
      </c>
      <c r="M81" s="4" t="s">
        <v>24</v>
      </c>
      <c r="N81" s="11"/>
      <c r="O81" s="12"/>
    </row>
    <row r="82" customFormat="false" ht="15.75" hidden="false" customHeight="true" outlineLevel="0" collapsed="false">
      <c r="A82" s="70" t="n">
        <v>79</v>
      </c>
      <c r="B82" s="71" t="s">
        <v>328</v>
      </c>
      <c r="C82" s="72" t="s">
        <v>333</v>
      </c>
      <c r="D82" s="73" t="s">
        <v>334</v>
      </c>
      <c r="E82" s="74" t="s">
        <v>335</v>
      </c>
      <c r="F82" s="75" t="s">
        <v>336</v>
      </c>
      <c r="G82" s="70"/>
      <c r="H82" s="10" t="s">
        <v>22</v>
      </c>
      <c r="I82" s="70" t="s">
        <v>23</v>
      </c>
      <c r="J82" s="70"/>
      <c r="K82" s="70"/>
      <c r="L82" s="10" t="s">
        <v>22</v>
      </c>
      <c r="M82" s="4" t="s">
        <v>24</v>
      </c>
      <c r="N82" s="11"/>
      <c r="O82" s="12"/>
    </row>
    <row r="83" customFormat="false" ht="15.75" hidden="false" customHeight="true" outlineLevel="0" collapsed="false">
      <c r="A83" s="70" t="n">
        <v>80</v>
      </c>
      <c r="B83" s="71" t="s">
        <v>328</v>
      </c>
      <c r="C83" s="72" t="s">
        <v>337</v>
      </c>
      <c r="D83" s="73" t="s">
        <v>338</v>
      </c>
      <c r="E83" s="74" t="s">
        <v>339</v>
      </c>
      <c r="F83" s="75" t="s">
        <v>340</v>
      </c>
      <c r="G83" s="70"/>
      <c r="H83" s="10" t="s">
        <v>22</v>
      </c>
      <c r="I83" s="70" t="s">
        <v>23</v>
      </c>
      <c r="J83" s="70"/>
      <c r="K83" s="70"/>
      <c r="L83" s="10" t="s">
        <v>22</v>
      </c>
      <c r="M83" s="4" t="s">
        <v>24</v>
      </c>
      <c r="N83" s="11"/>
      <c r="O83" s="12"/>
    </row>
    <row r="84" customFormat="false" ht="15.75" hidden="false" customHeight="true" outlineLevel="0" collapsed="false">
      <c r="A84" s="70" t="n">
        <v>81</v>
      </c>
      <c r="B84" s="71" t="s">
        <v>328</v>
      </c>
      <c r="C84" s="72" t="s">
        <v>341</v>
      </c>
      <c r="D84" s="73" t="s">
        <v>342</v>
      </c>
      <c r="E84" s="74" t="s">
        <v>343</v>
      </c>
      <c r="F84" s="75" t="s">
        <v>344</v>
      </c>
      <c r="G84" s="70"/>
      <c r="H84" s="10" t="s">
        <v>22</v>
      </c>
      <c r="I84" s="70" t="s">
        <v>23</v>
      </c>
      <c r="J84" s="70"/>
      <c r="K84" s="70"/>
      <c r="L84" s="10" t="s">
        <v>22</v>
      </c>
      <c r="M84" s="4" t="s">
        <v>24</v>
      </c>
      <c r="N84" s="11"/>
      <c r="O84" s="12"/>
    </row>
    <row r="85" customFormat="false" ht="15.75" hidden="false" customHeight="true" outlineLevel="0" collapsed="false">
      <c r="A85" s="70" t="n">
        <v>82</v>
      </c>
      <c r="B85" s="71" t="s">
        <v>328</v>
      </c>
      <c r="C85" s="72" t="s">
        <v>115</v>
      </c>
      <c r="D85" s="73" t="s">
        <v>116</v>
      </c>
      <c r="E85" s="74" t="s">
        <v>117</v>
      </c>
      <c r="F85" s="75" t="s">
        <v>118</v>
      </c>
      <c r="G85" s="70"/>
      <c r="H85" s="10" t="s">
        <v>22</v>
      </c>
      <c r="I85" s="70" t="s">
        <v>23</v>
      </c>
      <c r="J85" s="70"/>
      <c r="K85" s="70"/>
      <c r="L85" s="10" t="s">
        <v>22</v>
      </c>
      <c r="M85" s="4" t="s">
        <v>24</v>
      </c>
      <c r="N85" s="11"/>
      <c r="O85" s="12"/>
    </row>
    <row r="86" customFormat="false" ht="15.75" hidden="false" customHeight="true" outlineLevel="0" collapsed="false">
      <c r="A86" s="70" t="n">
        <v>83</v>
      </c>
      <c r="B86" s="71" t="s">
        <v>328</v>
      </c>
      <c r="C86" s="72" t="s">
        <v>345</v>
      </c>
      <c r="D86" s="73" t="s">
        <v>346</v>
      </c>
      <c r="E86" s="74" t="s">
        <v>347</v>
      </c>
      <c r="F86" s="75" t="s">
        <v>348</v>
      </c>
      <c r="G86" s="70"/>
      <c r="H86" s="10" t="s">
        <v>22</v>
      </c>
      <c r="I86" s="70" t="s">
        <v>23</v>
      </c>
      <c r="J86" s="70"/>
      <c r="K86" s="70"/>
      <c r="L86" s="10" t="s">
        <v>22</v>
      </c>
      <c r="M86" s="4" t="s">
        <v>24</v>
      </c>
      <c r="N86" s="11"/>
      <c r="O86" s="12"/>
    </row>
    <row r="87" customFormat="false" ht="15.75" hidden="false" customHeight="true" outlineLevel="0" collapsed="false">
      <c r="A87" s="76" t="n">
        <v>84</v>
      </c>
      <c r="B87" s="77" t="s">
        <v>349</v>
      </c>
      <c r="C87" s="78" t="s">
        <v>350</v>
      </c>
      <c r="D87" s="79" t="s">
        <v>351</v>
      </c>
      <c r="E87" s="80" t="s">
        <v>352</v>
      </c>
      <c r="F87" s="81" t="s">
        <v>353</v>
      </c>
      <c r="G87" s="76"/>
      <c r="H87" s="10" t="s">
        <v>22</v>
      </c>
      <c r="I87" s="76" t="s">
        <v>23</v>
      </c>
      <c r="J87" s="76"/>
      <c r="K87" s="76"/>
      <c r="L87" s="10" t="s">
        <v>22</v>
      </c>
      <c r="M87" s="4" t="s">
        <v>24</v>
      </c>
      <c r="N87" s="11"/>
      <c r="O87" s="12"/>
    </row>
    <row r="88" customFormat="false" ht="15.75" hidden="false" customHeight="true" outlineLevel="0" collapsed="false">
      <c r="A88" s="76" t="n">
        <v>85</v>
      </c>
      <c r="B88" s="77" t="s">
        <v>349</v>
      </c>
      <c r="C88" s="78" t="s">
        <v>354</v>
      </c>
      <c r="D88" s="79" t="s">
        <v>355</v>
      </c>
      <c r="E88" s="80" t="s">
        <v>356</v>
      </c>
      <c r="F88" s="81" t="s">
        <v>357</v>
      </c>
      <c r="G88" s="76"/>
      <c r="H88" s="10" t="s">
        <v>22</v>
      </c>
      <c r="I88" s="76" t="s">
        <v>23</v>
      </c>
      <c r="J88" s="76"/>
      <c r="K88" s="76"/>
      <c r="L88" s="10" t="s">
        <v>22</v>
      </c>
      <c r="M88" s="4" t="s">
        <v>24</v>
      </c>
      <c r="N88" s="11"/>
      <c r="O88" s="12"/>
    </row>
    <row r="89" customFormat="false" ht="15.75" hidden="false" customHeight="true" outlineLevel="0" collapsed="false">
      <c r="A89" s="76" t="n">
        <v>86</v>
      </c>
      <c r="B89" s="77" t="s">
        <v>349</v>
      </c>
      <c r="C89" s="78" t="s">
        <v>358</v>
      </c>
      <c r="D89" s="79" t="s">
        <v>359</v>
      </c>
      <c r="E89" s="80" t="s">
        <v>360</v>
      </c>
      <c r="F89" s="81" t="s">
        <v>361</v>
      </c>
      <c r="G89" s="76"/>
      <c r="H89" s="10" t="s">
        <v>22</v>
      </c>
      <c r="I89" s="76" t="s">
        <v>23</v>
      </c>
      <c r="J89" s="76"/>
      <c r="K89" s="76"/>
      <c r="L89" s="10" t="s">
        <v>22</v>
      </c>
      <c r="M89" s="4" t="s">
        <v>24</v>
      </c>
      <c r="N89" s="11"/>
      <c r="O89" s="12"/>
    </row>
    <row r="90" customFormat="false" ht="15.75" hidden="false" customHeight="true" outlineLevel="0" collapsed="false">
      <c r="A90" s="76" t="n">
        <v>87</v>
      </c>
      <c r="B90" s="77" t="s">
        <v>349</v>
      </c>
      <c r="C90" s="78" t="s">
        <v>362</v>
      </c>
      <c r="D90" s="79" t="s">
        <v>363</v>
      </c>
      <c r="E90" s="80" t="s">
        <v>364</v>
      </c>
      <c r="F90" s="81" t="s">
        <v>365</v>
      </c>
      <c r="G90" s="76"/>
      <c r="H90" s="10" t="s">
        <v>22</v>
      </c>
      <c r="I90" s="76" t="s">
        <v>23</v>
      </c>
      <c r="J90" s="76"/>
      <c r="K90" s="76"/>
      <c r="L90" s="10" t="s">
        <v>22</v>
      </c>
      <c r="M90" s="4" t="s">
        <v>24</v>
      </c>
      <c r="N90" s="11"/>
      <c r="O90" s="12"/>
    </row>
    <row r="91" customFormat="false" ht="15.75" hidden="false" customHeight="true" outlineLevel="0" collapsed="false">
      <c r="A91" s="76" t="n">
        <v>88</v>
      </c>
      <c r="B91" s="77" t="s">
        <v>349</v>
      </c>
      <c r="C91" s="78" t="s">
        <v>366</v>
      </c>
      <c r="D91" s="79" t="s">
        <v>367</v>
      </c>
      <c r="E91" s="80" t="s">
        <v>368</v>
      </c>
      <c r="F91" s="81" t="s">
        <v>369</v>
      </c>
      <c r="G91" s="76"/>
      <c r="H91" s="10" t="s">
        <v>22</v>
      </c>
      <c r="I91" s="76" t="s">
        <v>23</v>
      </c>
      <c r="J91" s="76"/>
      <c r="K91" s="76"/>
      <c r="L91" s="10" t="s">
        <v>22</v>
      </c>
      <c r="M91" s="4" t="s">
        <v>24</v>
      </c>
      <c r="N91" s="11"/>
      <c r="O91" s="12"/>
    </row>
  </sheetData>
  <autoFilter ref="A3:O91"/>
  <mergeCells count="2">
    <mergeCell ref="A1:O1"/>
    <mergeCell ref="A2:O2"/>
  </mergeCells>
  <dataValidations count="4">
    <dataValidation allowBlank="false" errorStyle="stop" operator="between" showDropDown="false" showErrorMessage="false" showInputMessage="false" sqref="H4:H91" type="list">
      <formula1>"⏳ Ausstehend,✅ Gesendet,❌ Fehler"</formula1>
      <formula2>0</formula2>
    </dataValidation>
    <dataValidation allowBlank="false" errorStyle="stop" operator="between" showDropDown="false" showErrorMessage="false" showInputMessage="false" sqref="L4:L91" type="list">
      <formula1>"⏳ Ausstehend,✅ Gesendet,❌ Fehler"</formula1>
      <formula2>0</formula2>
    </dataValidation>
    <dataValidation allowBlank="false" errorStyle="stop" operator="between" showDropDown="false" showErrorMessage="false" showInputMessage="false" sqref="I4:I91" type="list">
      <formula1>"—,✅ Ja,❌ Nein"</formula1>
      <formula2>0</formula2>
    </dataValidation>
    <dataValidation allowBlank="false" errorStyle="stop" operator="between" showDropDown="false" showErrorMessage="false" showInputMessage="false" sqref="M4:M91" type="list">
      <formula1>"🟡 Offen,📨 Mail 1 gesendet,⏰ Follow-up fällig,📬 Mail 2 gesendet,✅ Angebot erhalten,🤝 Kooperation,❌ Kein Interesse,🚫 Kein Kontakt"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33.75" hidden="false" customHeight="true" outlineLevel="0" collapsed="false">
      <c r="A1" s="82" t="s">
        <v>370</v>
      </c>
      <c r="B1" s="82"/>
      <c r="C1" s="82"/>
      <c r="D1" s="82"/>
      <c r="E1" s="82"/>
      <c r="F1" s="82"/>
      <c r="G1" s="82"/>
      <c r="H1" s="82"/>
    </row>
    <row r="2" customFormat="false" ht="23.85" hidden="false" customHeight="false" outlineLevel="0" collapsed="false">
      <c r="A2" s="83" t="s">
        <v>3</v>
      </c>
      <c r="B2" s="83" t="s">
        <v>371</v>
      </c>
      <c r="C2" s="83" t="s">
        <v>372</v>
      </c>
      <c r="D2" s="83" t="s">
        <v>373</v>
      </c>
      <c r="E2" s="83" t="s">
        <v>374</v>
      </c>
      <c r="F2" s="83" t="s">
        <v>375</v>
      </c>
      <c r="G2" s="83" t="s">
        <v>376</v>
      </c>
      <c r="H2" s="83" t="s">
        <v>377</v>
      </c>
    </row>
    <row r="3" customFormat="false" ht="18" hidden="false" customHeight="true" outlineLevel="0" collapsed="false">
      <c r="A3" s="84" t="s">
        <v>17</v>
      </c>
      <c r="B3" s="85" t="n">
        <v>9</v>
      </c>
      <c r="C3" s="86" t="n">
        <f aca="false">COUNTIF('📋 Kontaktliste'!H4:H12,"✅ Gesendet")</f>
        <v>0</v>
      </c>
      <c r="D3" s="86" t="n">
        <f aca="false">COUNTIF('📋 Kontaktliste'!I4:I12,"✅ Ja")</f>
        <v>0</v>
      </c>
      <c r="E3" s="86" t="n">
        <f aca="false">COUNTIF('📋 Kontaktliste'!L4:L12,"✅ Gesendet")</f>
        <v>0</v>
      </c>
      <c r="F3" s="87" t="n">
        <f aca="false">COUNTIF('📋 Kontaktliste'!M4:M12,"🤝 Kooperation")</f>
        <v>0</v>
      </c>
      <c r="G3" s="88" t="n">
        <f aca="false">COUNTIF('📋 Kontaktliste'!M4:M12,"❌ Kein Interesse")</f>
        <v>0</v>
      </c>
      <c r="H3" s="89" t="n">
        <f aca="false">COUNTIF('📋 Kontaktliste'!M4:M12,"🟡 Offen")</f>
        <v>9</v>
      </c>
    </row>
    <row r="4" customFormat="false" ht="18" hidden="false" customHeight="true" outlineLevel="0" collapsed="false">
      <c r="A4" s="90" t="s">
        <v>57</v>
      </c>
      <c r="B4" s="91" t="n">
        <v>9</v>
      </c>
      <c r="C4" s="92" t="n">
        <f aca="false">COUNTIF('📋 Kontaktliste'!H13:H21,"✅ Gesendet")</f>
        <v>0</v>
      </c>
      <c r="D4" s="92" t="n">
        <f aca="false">COUNTIF('📋 Kontaktliste'!I13:I21,"✅ Ja")</f>
        <v>0</v>
      </c>
      <c r="E4" s="92" t="n">
        <f aca="false">COUNTIF('📋 Kontaktliste'!L13:L21,"✅ Gesendet")</f>
        <v>0</v>
      </c>
      <c r="F4" s="87" t="n">
        <f aca="false">COUNTIF('📋 Kontaktliste'!M13:M21,"🤝 Kooperation")</f>
        <v>0</v>
      </c>
      <c r="G4" s="88" t="n">
        <f aca="false">COUNTIF('📋 Kontaktliste'!M13:M21,"❌ Kein Interesse")</f>
        <v>0</v>
      </c>
      <c r="H4" s="89" t="n">
        <f aca="false">COUNTIF('📋 Kontaktliste'!M13:M21,"🟡 Offen")</f>
        <v>9</v>
      </c>
    </row>
    <row r="5" customFormat="false" ht="18" hidden="false" customHeight="true" outlineLevel="0" collapsed="false">
      <c r="A5" s="93" t="s">
        <v>94</v>
      </c>
      <c r="B5" s="94" t="n">
        <v>10</v>
      </c>
      <c r="C5" s="95" t="n">
        <f aca="false">COUNTIF('📋 Kontaktliste'!H22:H31,"✅ Gesendet")</f>
        <v>0</v>
      </c>
      <c r="D5" s="95" t="n">
        <f aca="false">COUNTIF('📋 Kontaktliste'!I22:I31,"✅ Ja")</f>
        <v>0</v>
      </c>
      <c r="E5" s="95" t="n">
        <f aca="false">COUNTIF('📋 Kontaktliste'!L22:L31,"✅ Gesendet")</f>
        <v>0</v>
      </c>
      <c r="F5" s="87" t="n">
        <f aca="false">COUNTIF('📋 Kontaktliste'!M22:M31,"🤝 Kooperation")</f>
        <v>0</v>
      </c>
      <c r="G5" s="88" t="n">
        <f aca="false">COUNTIF('📋 Kontaktliste'!M22:M31,"❌ Kein Interesse")</f>
        <v>0</v>
      </c>
      <c r="H5" s="89" t="n">
        <f aca="false">COUNTIF('📋 Kontaktliste'!M22:M31,"🟡 Offen")</f>
        <v>10</v>
      </c>
    </row>
    <row r="6" customFormat="false" ht="18" hidden="false" customHeight="true" outlineLevel="0" collapsed="false">
      <c r="A6" s="96" t="s">
        <v>135</v>
      </c>
      <c r="B6" s="97" t="n">
        <v>6</v>
      </c>
      <c r="C6" s="98" t="n">
        <f aca="false">COUNTIF('📋 Kontaktliste'!H32:H37,"✅ Gesendet")</f>
        <v>0</v>
      </c>
      <c r="D6" s="98" t="n">
        <f aca="false">COUNTIF('📋 Kontaktliste'!I32:I37,"✅ Ja")</f>
        <v>0</v>
      </c>
      <c r="E6" s="98" t="n">
        <f aca="false">COUNTIF('📋 Kontaktliste'!L32:L37,"✅ Gesendet")</f>
        <v>0</v>
      </c>
      <c r="F6" s="87" t="n">
        <f aca="false">COUNTIF('📋 Kontaktliste'!M32:M37,"🤝 Kooperation")</f>
        <v>0</v>
      </c>
      <c r="G6" s="88" t="n">
        <f aca="false">COUNTIF('📋 Kontaktliste'!M32:M37,"❌ Kein Interesse")</f>
        <v>0</v>
      </c>
      <c r="H6" s="89" t="n">
        <f aca="false">COUNTIF('📋 Kontaktliste'!M32:M37,"🟡 Offen")</f>
        <v>6</v>
      </c>
    </row>
    <row r="7" customFormat="false" ht="18" hidden="false" customHeight="true" outlineLevel="0" collapsed="false">
      <c r="A7" s="99" t="s">
        <v>156</v>
      </c>
      <c r="B7" s="100" t="n">
        <v>6</v>
      </c>
      <c r="C7" s="101" t="n">
        <f aca="false">COUNTIF('📋 Kontaktliste'!H38:H43,"✅ Gesendet")</f>
        <v>0</v>
      </c>
      <c r="D7" s="101" t="n">
        <f aca="false">COUNTIF('📋 Kontaktliste'!I38:I43,"✅ Ja")</f>
        <v>0</v>
      </c>
      <c r="E7" s="101" t="n">
        <f aca="false">COUNTIF('📋 Kontaktliste'!L38:L43,"✅ Gesendet")</f>
        <v>0</v>
      </c>
      <c r="F7" s="87" t="n">
        <f aca="false">COUNTIF('📋 Kontaktliste'!M38:M43,"🤝 Kooperation")</f>
        <v>0</v>
      </c>
      <c r="G7" s="88" t="n">
        <f aca="false">COUNTIF('📋 Kontaktliste'!M38:M43,"❌ Kein Interesse")</f>
        <v>0</v>
      </c>
      <c r="H7" s="89" t="n">
        <f aca="false">COUNTIF('📋 Kontaktliste'!M38:M43,"🟡 Offen")</f>
        <v>6</v>
      </c>
    </row>
    <row r="8" customFormat="false" ht="18" hidden="false" customHeight="true" outlineLevel="0" collapsed="false">
      <c r="A8" s="102" t="s">
        <v>176</v>
      </c>
      <c r="B8" s="103" t="n">
        <v>7</v>
      </c>
      <c r="C8" s="104" t="n">
        <f aca="false">COUNTIF('📋 Kontaktliste'!H44:H50,"✅ Gesendet")</f>
        <v>0</v>
      </c>
      <c r="D8" s="104" t="n">
        <f aca="false">COUNTIF('📋 Kontaktliste'!I44:I50,"✅ Ja")</f>
        <v>0</v>
      </c>
      <c r="E8" s="104" t="n">
        <f aca="false">COUNTIF('📋 Kontaktliste'!L44:L50,"✅ Gesendet")</f>
        <v>0</v>
      </c>
      <c r="F8" s="87" t="n">
        <f aca="false">COUNTIF('📋 Kontaktliste'!M44:M50,"🤝 Kooperation")</f>
        <v>0</v>
      </c>
      <c r="G8" s="88" t="n">
        <f aca="false">COUNTIF('📋 Kontaktliste'!M44:M50,"❌ Kein Interesse")</f>
        <v>0</v>
      </c>
      <c r="H8" s="89" t="n">
        <f aca="false">COUNTIF('📋 Kontaktliste'!M44:M50,"🟡 Offen")</f>
        <v>7</v>
      </c>
    </row>
    <row r="9" customFormat="false" ht="18" hidden="false" customHeight="true" outlineLevel="0" collapsed="false">
      <c r="A9" s="105" t="s">
        <v>205</v>
      </c>
      <c r="B9" s="106" t="n">
        <v>8</v>
      </c>
      <c r="C9" s="107" t="n">
        <f aca="false">COUNTIF('📋 Kontaktliste'!H51:H58,"✅ Gesendet")</f>
        <v>0</v>
      </c>
      <c r="D9" s="107" t="n">
        <f aca="false">COUNTIF('📋 Kontaktliste'!I51:I58,"✅ Ja")</f>
        <v>0</v>
      </c>
      <c r="E9" s="107" t="n">
        <f aca="false">COUNTIF('📋 Kontaktliste'!L51:L58,"✅ Gesendet")</f>
        <v>0</v>
      </c>
      <c r="F9" s="87" t="n">
        <f aca="false">COUNTIF('📋 Kontaktliste'!M51:M58,"🤝 Kooperation")</f>
        <v>0</v>
      </c>
      <c r="G9" s="88" t="n">
        <f aca="false">COUNTIF('📋 Kontaktliste'!M51:M58,"❌ Kein Interesse")</f>
        <v>0</v>
      </c>
      <c r="H9" s="89" t="n">
        <f aca="false">COUNTIF('📋 Kontaktliste'!M51:M58,"🟡 Offen")</f>
        <v>8</v>
      </c>
    </row>
    <row r="10" customFormat="false" ht="18" hidden="false" customHeight="true" outlineLevel="0" collapsed="false">
      <c r="A10" s="108" t="s">
        <v>238</v>
      </c>
      <c r="B10" s="109" t="n">
        <v>8</v>
      </c>
      <c r="C10" s="110" t="n">
        <f aca="false">COUNTIF('📋 Kontaktliste'!H59:H66,"✅ Gesendet")</f>
        <v>0</v>
      </c>
      <c r="D10" s="110" t="n">
        <f aca="false">COUNTIF('📋 Kontaktliste'!I59:I66,"✅ Ja")</f>
        <v>0</v>
      </c>
      <c r="E10" s="110" t="n">
        <f aca="false">COUNTIF('📋 Kontaktliste'!L59:L66,"✅ Gesendet")</f>
        <v>0</v>
      </c>
      <c r="F10" s="87" t="n">
        <f aca="false">COUNTIF('📋 Kontaktliste'!M59:M66,"🤝 Kooperation")</f>
        <v>0</v>
      </c>
      <c r="G10" s="88" t="n">
        <f aca="false">COUNTIF('📋 Kontaktliste'!M59:M66,"❌ Kein Interesse")</f>
        <v>0</v>
      </c>
      <c r="H10" s="89" t="n">
        <f aca="false">COUNTIF('📋 Kontaktliste'!M59:M66,"🟡 Offen")</f>
        <v>8</v>
      </c>
    </row>
    <row r="11" customFormat="false" ht="18" hidden="false" customHeight="true" outlineLevel="0" collapsed="false">
      <c r="A11" s="111" t="s">
        <v>270</v>
      </c>
      <c r="B11" s="112" t="n">
        <v>7</v>
      </c>
      <c r="C11" s="113" t="n">
        <f aca="false">COUNTIF('📋 Kontaktliste'!H67:H73,"✅ Gesendet")</f>
        <v>0</v>
      </c>
      <c r="D11" s="113" t="n">
        <f aca="false">COUNTIF('📋 Kontaktliste'!I67:I73,"✅ Ja")</f>
        <v>0</v>
      </c>
      <c r="E11" s="113" t="n">
        <f aca="false">COUNTIF('📋 Kontaktliste'!L67:L73,"✅ Gesendet")</f>
        <v>0</v>
      </c>
      <c r="F11" s="87" t="n">
        <f aca="false">COUNTIF('📋 Kontaktliste'!M67:M73,"🤝 Kooperation")</f>
        <v>0</v>
      </c>
      <c r="G11" s="88" t="n">
        <f aca="false">COUNTIF('📋 Kontaktliste'!M67:M73,"❌ Kein Interesse")</f>
        <v>0</v>
      </c>
      <c r="H11" s="89" t="n">
        <f aca="false">COUNTIF('📋 Kontaktliste'!M67:M73,"🟡 Offen")</f>
        <v>7</v>
      </c>
    </row>
    <row r="12" customFormat="false" ht="18" hidden="false" customHeight="true" outlineLevel="0" collapsed="false">
      <c r="A12" s="114" t="s">
        <v>299</v>
      </c>
      <c r="B12" s="115" t="n">
        <v>7</v>
      </c>
      <c r="C12" s="116" t="n">
        <f aca="false">COUNTIF('📋 Kontaktliste'!H74:H80,"✅ Gesendet")</f>
        <v>0</v>
      </c>
      <c r="D12" s="116" t="n">
        <f aca="false">COUNTIF('📋 Kontaktliste'!I74:I80,"✅ Ja")</f>
        <v>0</v>
      </c>
      <c r="E12" s="116" t="n">
        <f aca="false">COUNTIF('📋 Kontaktliste'!L74:L80,"✅ Gesendet")</f>
        <v>0</v>
      </c>
      <c r="F12" s="87" t="n">
        <f aca="false">COUNTIF('📋 Kontaktliste'!M74:M80,"🤝 Kooperation")</f>
        <v>0</v>
      </c>
      <c r="G12" s="88" t="n">
        <f aca="false">COUNTIF('📋 Kontaktliste'!M74:M80,"❌ Kein Interesse")</f>
        <v>0</v>
      </c>
      <c r="H12" s="89" t="n">
        <f aca="false">COUNTIF('📋 Kontaktliste'!M74:M80,"🟡 Offen")</f>
        <v>7</v>
      </c>
    </row>
    <row r="13" customFormat="false" ht="18" hidden="false" customHeight="true" outlineLevel="0" collapsed="false">
      <c r="A13" s="117" t="s">
        <v>328</v>
      </c>
      <c r="B13" s="118" t="n">
        <v>6</v>
      </c>
      <c r="C13" s="119" t="n">
        <f aca="false">COUNTIF('📋 Kontaktliste'!H81:H86,"✅ Gesendet")</f>
        <v>0</v>
      </c>
      <c r="D13" s="119" t="n">
        <f aca="false">COUNTIF('📋 Kontaktliste'!I81:I86,"✅ Ja")</f>
        <v>0</v>
      </c>
      <c r="E13" s="119" t="n">
        <f aca="false">COUNTIF('📋 Kontaktliste'!L81:L86,"✅ Gesendet")</f>
        <v>0</v>
      </c>
      <c r="F13" s="87" t="n">
        <f aca="false">COUNTIF('📋 Kontaktliste'!M81:M86,"🤝 Kooperation")</f>
        <v>0</v>
      </c>
      <c r="G13" s="88" t="n">
        <f aca="false">COUNTIF('📋 Kontaktliste'!M81:M86,"❌ Kein Interesse")</f>
        <v>0</v>
      </c>
      <c r="H13" s="89" t="n">
        <f aca="false">COUNTIF('📋 Kontaktliste'!M81:M86,"🟡 Offen")</f>
        <v>6</v>
      </c>
    </row>
    <row r="14" customFormat="false" ht="18" hidden="false" customHeight="true" outlineLevel="0" collapsed="false">
      <c r="A14" s="120" t="s">
        <v>349</v>
      </c>
      <c r="B14" s="121" t="n">
        <v>5</v>
      </c>
      <c r="C14" s="122" t="n">
        <f aca="false">COUNTIF('📋 Kontaktliste'!H87:H91,"✅ Gesendet")</f>
        <v>0</v>
      </c>
      <c r="D14" s="122" t="n">
        <f aca="false">COUNTIF('📋 Kontaktliste'!I87:I91,"✅ Ja")</f>
        <v>0</v>
      </c>
      <c r="E14" s="122" t="n">
        <f aca="false">COUNTIF('📋 Kontaktliste'!L87:L91,"✅ Gesendet")</f>
        <v>0</v>
      </c>
      <c r="F14" s="87" t="n">
        <f aca="false">COUNTIF('📋 Kontaktliste'!M87:M91,"🤝 Kooperation")</f>
        <v>0</v>
      </c>
      <c r="G14" s="88" t="n">
        <f aca="false">COUNTIF('📋 Kontaktliste'!M87:M91,"❌ Kein Interesse")</f>
        <v>0</v>
      </c>
      <c r="H14" s="89" t="n">
        <f aca="false">COUNTIF('📋 Kontaktliste'!M87:M91,"🟡 Offen")</f>
        <v>5</v>
      </c>
    </row>
    <row r="15" customFormat="false" ht="19.5" hidden="false" customHeight="true" outlineLevel="0" collapsed="false">
      <c r="A15" s="123" t="s">
        <v>378</v>
      </c>
      <c r="B15" s="124" t="n">
        <f aca="false">SUM(B3:B14)</f>
        <v>88</v>
      </c>
      <c r="C15" s="124" t="n">
        <f aca="false">SUM(C3:C14)</f>
        <v>0</v>
      </c>
      <c r="D15" s="124" t="n">
        <f aca="false">SUM(D3:D14)</f>
        <v>0</v>
      </c>
      <c r="E15" s="124" t="n">
        <f aca="false">SUM(E3:E14)</f>
        <v>0</v>
      </c>
      <c r="F15" s="124" t="n">
        <f aca="false">SUM(F3:F14)</f>
        <v>0</v>
      </c>
      <c r="G15" s="124" t="n">
        <f aca="false">SUM(G3:G14)</f>
        <v>0</v>
      </c>
      <c r="H15" s="124" t="n">
        <f aca="false">SUM(H3:H14)</f>
        <v>88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4" min="3" style="0" width="20"/>
  </cols>
  <sheetData>
    <row r="1" customFormat="false" ht="33.75" hidden="false" customHeight="true" outlineLevel="0" collapsed="false">
      <c r="A1" s="82" t="s">
        <v>379</v>
      </c>
      <c r="B1" s="82"/>
      <c r="C1" s="82"/>
      <c r="D1" s="82"/>
    </row>
    <row r="2" customFormat="false" ht="18" hidden="false" customHeight="true" outlineLevel="0" collapsed="false">
      <c r="A2" s="125"/>
      <c r="B2" s="125"/>
      <c r="C2" s="125"/>
      <c r="D2" s="125"/>
    </row>
    <row r="3" customFormat="false" ht="18" hidden="false" customHeight="true" outlineLevel="0" collapsed="false">
      <c r="A3" s="126" t="s">
        <v>380</v>
      </c>
      <c r="B3" s="125"/>
      <c r="C3" s="125"/>
      <c r="D3" s="125"/>
    </row>
    <row r="4" customFormat="false" ht="18" hidden="false" customHeight="true" outlineLevel="0" collapsed="false">
      <c r="A4" s="127" t="s">
        <v>381</v>
      </c>
      <c r="B4" s="125" t="s">
        <v>382</v>
      </c>
      <c r="C4" s="125"/>
      <c r="D4" s="125"/>
    </row>
    <row r="5" customFormat="false" ht="18" hidden="false" customHeight="true" outlineLevel="0" collapsed="false">
      <c r="A5" s="127" t="s">
        <v>383</v>
      </c>
      <c r="B5" s="125" t="s">
        <v>384</v>
      </c>
      <c r="C5" s="125"/>
      <c r="D5" s="125"/>
    </row>
    <row r="6" customFormat="false" ht="18" hidden="false" customHeight="true" outlineLevel="0" collapsed="false">
      <c r="A6" s="127" t="s">
        <v>385</v>
      </c>
      <c r="B6" s="125" t="s">
        <v>386</v>
      </c>
      <c r="C6" s="125"/>
      <c r="D6" s="125"/>
    </row>
    <row r="7" customFormat="false" ht="18" hidden="false" customHeight="true" outlineLevel="0" collapsed="false">
      <c r="A7" s="127" t="s">
        <v>387</v>
      </c>
      <c r="B7" s="125" t="s">
        <v>388</v>
      </c>
      <c r="C7" s="125"/>
      <c r="D7" s="125"/>
    </row>
    <row r="8" customFormat="false" ht="18" hidden="false" customHeight="true" outlineLevel="0" collapsed="false">
      <c r="A8" s="127" t="s">
        <v>389</v>
      </c>
      <c r="B8" s="125" t="s">
        <v>390</v>
      </c>
      <c r="C8" s="125"/>
      <c r="D8" s="125"/>
    </row>
    <row r="9" customFormat="false" ht="18" hidden="false" customHeight="true" outlineLevel="0" collapsed="false">
      <c r="A9" s="127" t="s">
        <v>391</v>
      </c>
      <c r="B9" s="125" t="s">
        <v>392</v>
      </c>
      <c r="C9" s="125"/>
      <c r="D9" s="125"/>
    </row>
    <row r="10" customFormat="false" ht="18" hidden="false" customHeight="true" outlineLevel="0" collapsed="false">
      <c r="A10" s="127" t="s">
        <v>393</v>
      </c>
      <c r="B10" s="125" t="s">
        <v>394</v>
      </c>
      <c r="C10" s="125"/>
      <c r="D10" s="125"/>
    </row>
    <row r="11" customFormat="false" ht="18" hidden="false" customHeight="true" outlineLevel="0" collapsed="false">
      <c r="A11" s="127" t="s">
        <v>395</v>
      </c>
      <c r="B11" s="125" t="s">
        <v>396</v>
      </c>
      <c r="C11" s="125"/>
      <c r="D11" s="125"/>
    </row>
    <row r="12" customFormat="false" ht="18" hidden="false" customHeight="true" outlineLevel="0" collapsed="false">
      <c r="A12" s="127" t="s">
        <v>397</v>
      </c>
      <c r="B12" s="125" t="s">
        <v>398</v>
      </c>
      <c r="C12" s="125"/>
      <c r="D12" s="125"/>
    </row>
    <row r="13" customFormat="false" ht="18" hidden="false" customHeight="true" outlineLevel="0" collapsed="false">
      <c r="A13" s="125"/>
      <c r="B13" s="125"/>
      <c r="C13" s="125"/>
      <c r="D13" s="125"/>
    </row>
    <row r="14" customFormat="false" ht="18" hidden="false" customHeight="true" outlineLevel="0" collapsed="false">
      <c r="A14" s="126" t="s">
        <v>399</v>
      </c>
      <c r="B14" s="125" t="s">
        <v>400</v>
      </c>
      <c r="C14" s="125"/>
      <c r="D14" s="125"/>
    </row>
    <row r="15" customFormat="false" ht="18" hidden="false" customHeight="true" outlineLevel="0" collapsed="false">
      <c r="A15" s="127" t="s">
        <v>401</v>
      </c>
      <c r="B15" s="125" t="s">
        <v>402</v>
      </c>
      <c r="C15" s="125"/>
      <c r="D15" s="125"/>
    </row>
    <row r="16" customFormat="false" ht="18" hidden="false" customHeight="true" outlineLevel="0" collapsed="false">
      <c r="A16" s="127" t="s">
        <v>403</v>
      </c>
      <c r="B16" s="125" t="s">
        <v>404</v>
      </c>
      <c r="C16" s="125"/>
      <c r="D16" s="125"/>
    </row>
    <row r="17" customFormat="false" ht="18" hidden="false" customHeight="true" outlineLevel="0" collapsed="false">
      <c r="A17" s="127" t="s">
        <v>405</v>
      </c>
      <c r="B17" s="125" t="s">
        <v>406</v>
      </c>
      <c r="C17" s="125"/>
      <c r="D17" s="125"/>
    </row>
    <row r="18" customFormat="false" ht="18" hidden="false" customHeight="true" outlineLevel="0" collapsed="false">
      <c r="A18" s="127" t="s">
        <v>16</v>
      </c>
      <c r="B18" s="125" t="s">
        <v>407</v>
      </c>
      <c r="C18" s="125"/>
      <c r="D18" s="125"/>
    </row>
    <row r="19" customFormat="false" ht="18" hidden="false" customHeight="true" outlineLevel="0" collapsed="false">
      <c r="A19" s="125"/>
      <c r="B19" s="125"/>
      <c r="C19" s="125"/>
      <c r="D19" s="125"/>
    </row>
    <row r="20" customFormat="false" ht="18" hidden="false" customHeight="true" outlineLevel="0" collapsed="false">
      <c r="A20" s="126" t="s">
        <v>408</v>
      </c>
      <c r="B20" s="125" t="s">
        <v>409</v>
      </c>
      <c r="C20" s="125"/>
      <c r="D20" s="125"/>
    </row>
    <row r="21" customFormat="false" ht="18" hidden="false" customHeight="true" outlineLevel="0" collapsed="false">
      <c r="A21" s="127" t="s">
        <v>410</v>
      </c>
      <c r="B21" s="125" t="s">
        <v>411</v>
      </c>
      <c r="C21" s="125"/>
      <c r="D21" s="125"/>
    </row>
    <row r="22" customFormat="false" ht="18" hidden="false" customHeight="true" outlineLevel="0" collapsed="false">
      <c r="A22" s="127" t="s">
        <v>412</v>
      </c>
      <c r="B22" s="125" t="s">
        <v>413</v>
      </c>
      <c r="C22" s="125"/>
      <c r="D22" s="125"/>
    </row>
    <row r="23" customFormat="false" ht="18" hidden="false" customHeight="true" outlineLevel="0" collapsed="false">
      <c r="A23" s="125"/>
      <c r="B23" s="125"/>
      <c r="C23" s="125"/>
      <c r="D23" s="125"/>
    </row>
    <row r="24" customFormat="false" ht="18" hidden="false" customHeight="true" outlineLevel="0" collapsed="false">
      <c r="A24" s="127" t="s">
        <v>414</v>
      </c>
      <c r="B24" s="125" t="s">
        <v>415</v>
      </c>
      <c r="C24" s="125"/>
      <c r="D24" s="125"/>
    </row>
    <row r="25" customFormat="false" ht="18" hidden="false" customHeight="true" outlineLevel="0" collapsed="false">
      <c r="A25" s="127" t="s">
        <v>414</v>
      </c>
      <c r="B25" s="125" t="s">
        <v>416</v>
      </c>
      <c r="C25" s="125"/>
      <c r="D25" s="12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2026-04-19T11:50:26Z</dcterms:created>
  <dc:creator>openpyxl</dc:creator>
  <dc:description/>
  <dc:language>en-US</dc:language>
  <cp:lastModifiedBy/>
  <dcterms:modified xsi:type="dcterms:W3CDTF">2026-04-19T11:50:27Z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